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Togo_Dengue/full_analysis/code/data/"/>
    </mc:Choice>
  </mc:AlternateContent>
  <xr:revisionPtr revIDLastSave="0" documentId="13_ncr:1_{19F31F80-F34F-8B49-849B-AAE3B3809675}" xr6:coauthVersionLast="47" xr6:coauthVersionMax="47" xr10:uidLastSave="{00000000-0000-0000-0000-000000000000}"/>
  <bookViews>
    <workbookView xWindow="0" yWindow="6300" windowWidth="32420" windowHeight="14440" xr2:uid="{9EE1F0BE-F766-784A-9DEC-2183E6009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" l="1"/>
  <c r="J164" i="1"/>
  <c r="J91" i="1"/>
  <c r="J169" i="1"/>
  <c r="J54" i="1"/>
  <c r="J181" i="1"/>
  <c r="J123" i="1"/>
  <c r="J175" i="1"/>
  <c r="J172" i="1"/>
  <c r="J156" i="1"/>
  <c r="J165" i="1"/>
  <c r="J85" i="1"/>
  <c r="J102" i="1"/>
  <c r="J67" i="1"/>
  <c r="J86" i="1"/>
  <c r="J178" i="1"/>
  <c r="J186" i="1"/>
  <c r="J105" i="1"/>
  <c r="J39" i="1"/>
  <c r="J40" i="1"/>
  <c r="J41" i="1"/>
  <c r="J42" i="1"/>
  <c r="J43" i="1"/>
  <c r="J44" i="1"/>
  <c r="J46" i="1"/>
  <c r="J167" i="1"/>
  <c r="J183" i="1"/>
  <c r="J50" i="1"/>
  <c r="J51" i="1"/>
  <c r="J56" i="1"/>
  <c r="J68" i="1"/>
  <c r="J70" i="1"/>
  <c r="J74" i="1"/>
  <c r="J75" i="1"/>
  <c r="J78" i="1"/>
  <c r="J82" i="1"/>
  <c r="J88" i="1"/>
  <c r="J89" i="1"/>
  <c r="J93" i="1"/>
  <c r="J95" i="1"/>
  <c r="J98" i="1"/>
  <c r="J103" i="1"/>
  <c r="J106" i="1"/>
  <c r="J111" i="1"/>
  <c r="J128" i="1"/>
  <c r="J155" i="1"/>
  <c r="J107" i="1"/>
  <c r="J161" i="1"/>
  <c r="J152" i="1"/>
  <c r="J90" i="1"/>
  <c r="J81" i="1"/>
  <c r="J171" i="1"/>
  <c r="J188" i="1"/>
  <c r="J77" i="1"/>
  <c r="J151" i="1"/>
  <c r="J53" i="1"/>
  <c r="J76" i="1"/>
  <c r="J150" i="1"/>
  <c r="J72" i="1"/>
  <c r="J110" i="1"/>
  <c r="J64" i="1"/>
  <c r="J69" i="1"/>
  <c r="J180" i="1"/>
  <c r="J176" i="1"/>
  <c r="J108" i="1"/>
  <c r="J170" i="1"/>
  <c r="J57" i="1"/>
  <c r="J163" i="1"/>
  <c r="J179" i="1"/>
  <c r="J154" i="1"/>
  <c r="J71" i="1"/>
  <c r="J159" i="1"/>
  <c r="J124" i="1"/>
  <c r="J66" i="1"/>
  <c r="J61" i="1"/>
  <c r="J48" i="1"/>
  <c r="J117" i="1"/>
  <c r="J184" i="1"/>
  <c r="J101" i="1"/>
  <c r="J84" i="1"/>
  <c r="J131" i="1"/>
  <c r="J168" i="1"/>
  <c r="J182" i="1"/>
  <c r="J83" i="1"/>
  <c r="J129" i="1"/>
  <c r="J96" i="1"/>
  <c r="J45" i="1"/>
  <c r="J135" i="1"/>
  <c r="J65" i="1"/>
  <c r="J185" i="1"/>
  <c r="J60" i="1"/>
  <c r="J47" i="1"/>
  <c r="J104" i="1"/>
  <c r="J173" i="1"/>
  <c r="J116" i="1"/>
  <c r="J92" i="1"/>
  <c r="J63" i="1"/>
  <c r="J140" i="1"/>
  <c r="J59" i="1"/>
  <c r="J114" i="1"/>
  <c r="J174" i="1"/>
  <c r="J58" i="1"/>
  <c r="J158" i="1"/>
  <c r="J109" i="1"/>
  <c r="J80" i="1"/>
  <c r="J118" i="1"/>
  <c r="J49" i="1"/>
  <c r="J115" i="1"/>
  <c r="J52" i="1"/>
  <c r="J145" i="1"/>
  <c r="J112" i="1"/>
  <c r="J121" i="1"/>
  <c r="J177" i="1"/>
  <c r="J87" i="1"/>
  <c r="J157" i="1"/>
  <c r="J166" i="1"/>
  <c r="J127" i="1"/>
  <c r="J147" i="1"/>
  <c r="J55" i="1"/>
  <c r="J97" i="1"/>
  <c r="J136" i="1"/>
  <c r="J142" i="1"/>
  <c r="J62" i="1"/>
  <c r="J99" i="1"/>
  <c r="J148" i="1"/>
  <c r="J122" i="1"/>
  <c r="J119" i="1"/>
  <c r="J146" i="1"/>
  <c r="J120" i="1"/>
  <c r="J144" i="1"/>
  <c r="J149" i="1"/>
  <c r="J138" i="1"/>
  <c r="J137" i="1"/>
  <c r="J94" i="1"/>
  <c r="J126" i="1"/>
  <c r="J187" i="1"/>
  <c r="J153" i="1"/>
  <c r="J139" i="1"/>
  <c r="J113" i="1"/>
  <c r="J141" i="1"/>
  <c r="J130" i="1"/>
  <c r="J100" i="1"/>
  <c r="J133" i="1"/>
  <c r="J79" i="1"/>
  <c r="J125" i="1"/>
  <c r="J132" i="1"/>
  <c r="J134" i="1"/>
  <c r="J143" i="1"/>
  <c r="J16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162" i="1"/>
</calcChain>
</file>

<file path=xl/sharedStrings.xml><?xml version="1.0" encoding="utf-8"?>
<sst xmlns="http://schemas.openxmlformats.org/spreadsheetml/2006/main" count="1738" uniqueCount="233">
  <si>
    <t>LIMS ID</t>
  </si>
  <si>
    <t>Sample Collection Date (DD-MM-YYYY)</t>
  </si>
  <si>
    <t>Specimen Type</t>
  </si>
  <si>
    <t>Purpose of Sampling</t>
  </si>
  <si>
    <t>Sample Volume</t>
  </si>
  <si>
    <t>Age</t>
  </si>
  <si>
    <t>Gender</t>
  </si>
  <si>
    <t>Country</t>
  </si>
  <si>
    <t>Region</t>
  </si>
  <si>
    <t>District</t>
  </si>
  <si>
    <t>Proceed to NGS</t>
  </si>
  <si>
    <t>K063749</t>
  </si>
  <si>
    <t>Serum</t>
  </si>
  <si>
    <t>DENGUE testing</t>
  </si>
  <si>
    <t>400 µl</t>
  </si>
  <si>
    <t>M</t>
  </si>
  <si>
    <t>Togo</t>
  </si>
  <si>
    <t>Grand Lomé</t>
  </si>
  <si>
    <t>Golfe</t>
  </si>
  <si>
    <t>Not specified</t>
  </si>
  <si>
    <t>Yes</t>
  </si>
  <si>
    <t>K063660</t>
  </si>
  <si>
    <t>500 µl</t>
  </si>
  <si>
    <t>F</t>
  </si>
  <si>
    <t>K063751</t>
  </si>
  <si>
    <t>K063678</t>
  </si>
  <si>
    <t>Agoè</t>
  </si>
  <si>
    <t>K063756</t>
  </si>
  <si>
    <t>300 µl</t>
  </si>
  <si>
    <t>K063641</t>
  </si>
  <si>
    <t>K063768</t>
  </si>
  <si>
    <t>K063710</t>
  </si>
  <si>
    <t>Kara</t>
  </si>
  <si>
    <t>Kozah</t>
  </si>
  <si>
    <t>K063762</t>
  </si>
  <si>
    <t>K063759</t>
  </si>
  <si>
    <t>K063743</t>
  </si>
  <si>
    <t>K063752</t>
  </si>
  <si>
    <t>K063672</t>
  </si>
  <si>
    <t>K063689</t>
  </si>
  <si>
    <t>K063654</t>
  </si>
  <si>
    <t>K063673</t>
  </si>
  <si>
    <t>K063765</t>
  </si>
  <si>
    <t>K063773</t>
  </si>
  <si>
    <t>K063692</t>
  </si>
  <si>
    <t>K063626</t>
  </si>
  <si>
    <t>No</t>
  </si>
  <si>
    <t>K063627</t>
  </si>
  <si>
    <t>K063628</t>
  </si>
  <si>
    <t>K063629</t>
  </si>
  <si>
    <t>K063630</t>
  </si>
  <si>
    <t>K063631</t>
  </si>
  <si>
    <t>K063633</t>
  </si>
  <si>
    <t>K063754</t>
  </si>
  <si>
    <t>K063770</t>
  </si>
  <si>
    <t>K063637</t>
  </si>
  <si>
    <t>K063638</t>
  </si>
  <si>
    <t>K063643</t>
  </si>
  <si>
    <t>K063655</t>
  </si>
  <si>
    <t>K063657</t>
  </si>
  <si>
    <t>K063661</t>
  </si>
  <si>
    <t>K063662</t>
  </si>
  <si>
    <t>K063665</t>
  </si>
  <si>
    <t>K063669</t>
  </si>
  <si>
    <t>K063675</t>
  </si>
  <si>
    <t>K063676</t>
  </si>
  <si>
    <t>K063680</t>
  </si>
  <si>
    <t>K063682</t>
  </si>
  <si>
    <t>Binah</t>
  </si>
  <si>
    <t>K063685</t>
  </si>
  <si>
    <t>Plateaux</t>
  </si>
  <si>
    <t>Agou</t>
  </si>
  <si>
    <t>K063690</t>
  </si>
  <si>
    <t>K063693</t>
  </si>
  <si>
    <t>K063698</t>
  </si>
  <si>
    <t>K063715</t>
  </si>
  <si>
    <t>K063742</t>
  </si>
  <si>
    <t>K063694</t>
  </si>
  <si>
    <t>K063748</t>
  </si>
  <si>
    <t>K063739</t>
  </si>
  <si>
    <t>K063677</t>
  </si>
  <si>
    <t>K063668</t>
  </si>
  <si>
    <t>K063758</t>
  </si>
  <si>
    <t>K063775</t>
  </si>
  <si>
    <t>K063664</t>
  </si>
  <si>
    <t>K063738</t>
  </si>
  <si>
    <t>K063640</t>
  </si>
  <si>
    <t>K063663</t>
  </si>
  <si>
    <t>K063737</t>
  </si>
  <si>
    <t>K063659</t>
  </si>
  <si>
    <t>K063697</t>
  </si>
  <si>
    <t>K063651</t>
  </si>
  <si>
    <t>K063656</t>
  </si>
  <si>
    <t>K063767</t>
  </si>
  <si>
    <t>K063763</t>
  </si>
  <si>
    <t>K063695</t>
  </si>
  <si>
    <t>K063757</t>
  </si>
  <si>
    <t>K063644</t>
  </si>
  <si>
    <t>K063750</t>
  </si>
  <si>
    <t>K063766</t>
  </si>
  <si>
    <t>K063741</t>
  </si>
  <si>
    <t>K063658</t>
  </si>
  <si>
    <t>K063746</t>
  </si>
  <si>
    <t>K063711</t>
  </si>
  <si>
    <t>K063653</t>
  </si>
  <si>
    <t>K063648</t>
  </si>
  <si>
    <t>K063635</t>
  </si>
  <si>
    <t>K063704</t>
  </si>
  <si>
    <t>K063771</t>
  </si>
  <si>
    <t>K063688</t>
  </si>
  <si>
    <t>K063671</t>
  </si>
  <si>
    <t>K063718</t>
  </si>
  <si>
    <t>K063755</t>
  </si>
  <si>
    <t>K063769</t>
  </si>
  <si>
    <t>K063670</t>
  </si>
  <si>
    <t>K063716</t>
  </si>
  <si>
    <t>K063683</t>
  </si>
  <si>
    <t>K063632</t>
  </si>
  <si>
    <t>K063722</t>
  </si>
  <si>
    <t>K063652</t>
  </si>
  <si>
    <t>K063772</t>
  </si>
  <si>
    <t>K063647</t>
  </si>
  <si>
    <t>K063634</t>
  </si>
  <si>
    <t>K063691</t>
  </si>
  <si>
    <t>K063760</t>
  </si>
  <si>
    <t>K063703</t>
  </si>
  <si>
    <t>K063679</t>
  </si>
  <si>
    <t>K063650</t>
  </si>
  <si>
    <t>K063727</t>
  </si>
  <si>
    <t>K063646</t>
  </si>
  <si>
    <t>K063701</t>
  </si>
  <si>
    <t>K063761</t>
  </si>
  <si>
    <t>K063645</t>
  </si>
  <si>
    <t>K063745</t>
  </si>
  <si>
    <t>K063696</t>
  </si>
  <si>
    <t>K063667</t>
  </si>
  <si>
    <t>K063705</t>
  </si>
  <si>
    <t>K063636</t>
  </si>
  <si>
    <t>K063702</t>
  </si>
  <si>
    <t>K063639</t>
  </si>
  <si>
    <t>K063732</t>
  </si>
  <si>
    <t>K063699</t>
  </si>
  <si>
    <t>K063708</t>
  </si>
  <si>
    <t>K063764</t>
  </si>
  <si>
    <t>K063674</t>
  </si>
  <si>
    <t>K063744</t>
  </si>
  <si>
    <t>K063753</t>
  </si>
  <si>
    <t>K063714</t>
  </si>
  <si>
    <t>K063734</t>
  </si>
  <si>
    <t>K063642</t>
  </si>
  <si>
    <t>K063684</t>
  </si>
  <si>
    <t>Kloto</t>
  </si>
  <si>
    <t>K063723</t>
  </si>
  <si>
    <t>K063729</t>
  </si>
  <si>
    <t>K063649</t>
  </si>
  <si>
    <t>K063686</t>
  </si>
  <si>
    <t>K063735</t>
  </si>
  <si>
    <t>K063709</t>
  </si>
  <si>
    <t>K063706</t>
  </si>
  <si>
    <t>Savanes</t>
  </si>
  <si>
    <t>Cinkasse</t>
  </si>
  <si>
    <t>K063733</t>
  </si>
  <si>
    <t>K063707</t>
  </si>
  <si>
    <t>K063731</t>
  </si>
  <si>
    <t>Kéran</t>
  </si>
  <si>
    <t>K063736</t>
  </si>
  <si>
    <t>K063725</t>
  </si>
  <si>
    <t>K063724</t>
  </si>
  <si>
    <t>K063681</t>
  </si>
  <si>
    <t>K063713</t>
  </si>
  <si>
    <t>K063774</t>
  </si>
  <si>
    <t>K063740</t>
  </si>
  <si>
    <t>K063726</t>
  </si>
  <si>
    <t>K063700</t>
  </si>
  <si>
    <t>K063728</t>
  </si>
  <si>
    <t>K063717</t>
  </si>
  <si>
    <t>K063687</t>
  </si>
  <si>
    <t>K063720</t>
  </si>
  <si>
    <t>K063666</t>
  </si>
  <si>
    <t>K063712</t>
  </si>
  <si>
    <t>K063719</t>
  </si>
  <si>
    <t>K063721</t>
  </si>
  <si>
    <t>K063730</t>
  </si>
  <si>
    <t>K063747</t>
  </si>
  <si>
    <t>Tone</t>
  </si>
  <si>
    <t>Ogou</t>
  </si>
  <si>
    <t>-</t>
  </si>
  <si>
    <t>coverage</t>
  </si>
  <si>
    <t>C066968</t>
  </si>
  <si>
    <t>C066969</t>
  </si>
  <si>
    <t>C066970</t>
  </si>
  <si>
    <t>C066971</t>
  </si>
  <si>
    <t>C066972</t>
  </si>
  <si>
    <t>C066973</t>
  </si>
  <si>
    <t>C066974</t>
  </si>
  <si>
    <t>C066975</t>
  </si>
  <si>
    <t>C066976</t>
  </si>
  <si>
    <t>C066977</t>
  </si>
  <si>
    <t>C066978</t>
  </si>
  <si>
    <t>C066979</t>
  </si>
  <si>
    <t>C066980</t>
  </si>
  <si>
    <t>C066981</t>
  </si>
  <si>
    <t>C066982</t>
  </si>
  <si>
    <t>C066983</t>
  </si>
  <si>
    <t>C066984</t>
  </si>
  <si>
    <t>C066985</t>
  </si>
  <si>
    <t>C066986</t>
  </si>
  <si>
    <t>C066987</t>
  </si>
  <si>
    <t>C066988</t>
  </si>
  <si>
    <t>C066989</t>
  </si>
  <si>
    <t>C066990</t>
  </si>
  <si>
    <t>C066992</t>
  </si>
  <si>
    <t>C066993</t>
  </si>
  <si>
    <t>C066994</t>
  </si>
  <si>
    <t>C066995</t>
  </si>
  <si>
    <t>C066996</t>
  </si>
  <si>
    <t>C066997</t>
  </si>
  <si>
    <t>C066998</t>
  </si>
  <si>
    <t>C066999</t>
  </si>
  <si>
    <t>C067000</t>
  </si>
  <si>
    <t>C067002</t>
  </si>
  <si>
    <t>C067003</t>
  </si>
  <si>
    <t>C067004</t>
  </si>
  <si>
    <t>C067005</t>
  </si>
  <si>
    <t>C067007</t>
  </si>
  <si>
    <t>Ct</t>
  </si>
  <si>
    <t>REGION</t>
  </si>
  <si>
    <t>Region2</t>
  </si>
  <si>
    <t>NOT SPECIFIED</t>
  </si>
  <si>
    <t>KARA</t>
  </si>
  <si>
    <t>PLATEAUX</t>
  </si>
  <si>
    <t>SAVANES</t>
  </si>
  <si>
    <t>GRAND LOME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</si>
</sst>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2" fontId="1" fillId="8" borderId="3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4" fontId="1" fillId="7" borderId="3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C204-44CA-F04F-A15C-D9CF4C1FCAB8}">
  <dimension ref="A1:O188"/>
  <sheetViews>
    <sheetView tabSelected="1" workbookViewId="0">
      <pane xSplit="1" topLeftCell="B1" activePane="topRight" state="frozen"/>
      <selection pane="topRight" activeCell="D11" sqref="D11"/>
    </sheetView>
  </sheetViews>
  <sheetFormatPr baseColWidth="10" defaultRowHeight="16" x14ac:dyDescent="0.2"/>
  <cols>
    <col min="2" max="2" width="10.83203125" style="18"/>
    <col min="10" max="10" width="14.5" bestFit="1" customWidth="1"/>
    <col min="11" max="11" width="14.5" customWidth="1"/>
    <col min="13" max="13" width="10.83203125" style="24"/>
    <col min="15" max="15" width="10.83203125" style="24"/>
  </cols>
  <sheetData>
    <row r="1" spans="1:15" ht="85" x14ac:dyDescent="0.2">
      <c r="A1" s="1" t="s">
        <v>0</v>
      </c>
      <c r="B1" s="17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227</v>
      </c>
      <c r="K1" s="3" t="s">
        <v>226</v>
      </c>
      <c r="L1" s="4" t="s">
        <v>9</v>
      </c>
      <c r="M1" s="19" t="s">
        <v>225</v>
      </c>
      <c r="N1" s="5" t="s">
        <v>10</v>
      </c>
      <c r="O1" s="6" t="s">
        <v>187</v>
      </c>
    </row>
    <row r="2" spans="1:15" x14ac:dyDescent="0.2">
      <c r="A2" s="27" t="s">
        <v>188</v>
      </c>
      <c r="B2" s="29">
        <v>45491</v>
      </c>
      <c r="C2" s="27"/>
      <c r="D2" s="27"/>
      <c r="E2" s="27"/>
      <c r="F2" s="32">
        <v>17</v>
      </c>
      <c r="G2" s="32" t="s">
        <v>15</v>
      </c>
      <c r="H2" s="9" t="s">
        <v>16</v>
      </c>
      <c r="I2" s="32" t="s">
        <v>32</v>
      </c>
      <c r="J2" s="7" t="str">
        <f t="shared" ref="J2:J33" si="0">UPPER(I2)</f>
        <v>KARA</v>
      </c>
      <c r="K2" s="7" t="s">
        <v>229</v>
      </c>
      <c r="L2" s="32" t="s">
        <v>33</v>
      </c>
      <c r="M2" s="32">
        <v>29.79</v>
      </c>
      <c r="N2" s="27"/>
      <c r="O2" s="24">
        <v>1.5</v>
      </c>
    </row>
    <row r="3" spans="1:15" x14ac:dyDescent="0.2">
      <c r="A3" s="27" t="s">
        <v>189</v>
      </c>
      <c r="B3" s="29">
        <v>45491</v>
      </c>
      <c r="C3" s="27"/>
      <c r="D3" s="27"/>
      <c r="E3" s="27"/>
      <c r="F3" s="32">
        <v>45</v>
      </c>
      <c r="G3" s="32" t="s">
        <v>15</v>
      </c>
      <c r="H3" s="9" t="s">
        <v>16</v>
      </c>
      <c r="I3" s="32" t="s">
        <v>32</v>
      </c>
      <c r="J3" s="7" t="str">
        <f t="shared" si="0"/>
        <v>KARA</v>
      </c>
      <c r="K3" s="7" t="s">
        <v>229</v>
      </c>
      <c r="L3" s="32" t="s">
        <v>33</v>
      </c>
      <c r="M3" s="32">
        <v>35.130000000000003</v>
      </c>
      <c r="N3" s="27"/>
      <c r="O3" s="24">
        <v>0</v>
      </c>
    </row>
    <row r="4" spans="1:15" x14ac:dyDescent="0.2">
      <c r="A4" s="27" t="s">
        <v>190</v>
      </c>
      <c r="B4" s="29">
        <v>45491</v>
      </c>
      <c r="C4" s="27"/>
      <c r="D4" s="27"/>
      <c r="E4" s="27"/>
      <c r="F4" s="32">
        <v>44</v>
      </c>
      <c r="G4" s="32" t="s">
        <v>23</v>
      </c>
      <c r="H4" s="9" t="s">
        <v>16</v>
      </c>
      <c r="I4" s="32" t="s">
        <v>32</v>
      </c>
      <c r="J4" s="7" t="str">
        <f t="shared" si="0"/>
        <v>KARA</v>
      </c>
      <c r="K4" s="7" t="s">
        <v>229</v>
      </c>
      <c r="L4" s="32" t="s">
        <v>33</v>
      </c>
      <c r="M4" s="32">
        <v>30.22</v>
      </c>
      <c r="N4" s="27"/>
      <c r="O4" s="24">
        <v>14.5</v>
      </c>
    </row>
    <row r="5" spans="1:15" x14ac:dyDescent="0.2">
      <c r="A5" s="27" t="s">
        <v>191</v>
      </c>
      <c r="B5" s="29">
        <v>45491</v>
      </c>
      <c r="C5" s="27"/>
      <c r="D5" s="27"/>
      <c r="E5" s="27"/>
      <c r="F5" s="32">
        <v>29</v>
      </c>
      <c r="G5" s="32" t="s">
        <v>23</v>
      </c>
      <c r="H5" s="9" t="s">
        <v>16</v>
      </c>
      <c r="I5" s="32" t="s">
        <v>32</v>
      </c>
      <c r="J5" s="7" t="str">
        <f t="shared" si="0"/>
        <v>KARA</v>
      </c>
      <c r="K5" s="7" t="s">
        <v>229</v>
      </c>
      <c r="L5" s="32" t="s">
        <v>33</v>
      </c>
      <c r="M5" s="32">
        <v>31.43</v>
      </c>
      <c r="N5" s="27"/>
      <c r="O5" s="24">
        <v>3.2</v>
      </c>
    </row>
    <row r="6" spans="1:15" x14ac:dyDescent="0.2">
      <c r="A6" s="27" t="s">
        <v>192</v>
      </c>
      <c r="B6" s="29">
        <v>45491</v>
      </c>
      <c r="C6" s="27"/>
      <c r="D6" s="27"/>
      <c r="E6" s="27"/>
      <c r="F6" s="32">
        <v>30</v>
      </c>
      <c r="G6" s="32" t="s">
        <v>15</v>
      </c>
      <c r="H6" s="9" t="s">
        <v>16</v>
      </c>
      <c r="I6" s="32" t="s">
        <v>32</v>
      </c>
      <c r="J6" s="7" t="str">
        <f t="shared" si="0"/>
        <v>KARA</v>
      </c>
      <c r="K6" s="7" t="s">
        <v>229</v>
      </c>
      <c r="L6" s="32" t="s">
        <v>33</v>
      </c>
      <c r="M6" s="32">
        <v>30.93</v>
      </c>
      <c r="N6" s="27"/>
      <c r="O6" s="24">
        <v>4.7</v>
      </c>
    </row>
    <row r="7" spans="1:15" x14ac:dyDescent="0.2">
      <c r="A7" s="27" t="s">
        <v>193</v>
      </c>
      <c r="B7" s="29">
        <v>45492</v>
      </c>
      <c r="C7" s="27"/>
      <c r="D7" s="27"/>
      <c r="E7" s="27"/>
      <c r="F7" s="32">
        <v>61</v>
      </c>
      <c r="G7" s="32" t="s">
        <v>23</v>
      </c>
      <c r="H7" s="9" t="s">
        <v>16</v>
      </c>
      <c r="I7" s="32" t="s">
        <v>32</v>
      </c>
      <c r="J7" s="7" t="str">
        <f t="shared" si="0"/>
        <v>KARA</v>
      </c>
      <c r="K7" s="7" t="s">
        <v>229</v>
      </c>
      <c r="L7" s="32" t="s">
        <v>33</v>
      </c>
      <c r="M7" s="32">
        <v>25.53</v>
      </c>
      <c r="N7" s="27"/>
      <c r="O7" s="24">
        <v>75.400000000000006</v>
      </c>
    </row>
    <row r="8" spans="1:15" x14ac:dyDescent="0.2">
      <c r="A8" s="27" t="s">
        <v>194</v>
      </c>
      <c r="B8" s="29">
        <v>45492</v>
      </c>
      <c r="C8" s="27"/>
      <c r="D8" s="27"/>
      <c r="E8" s="27"/>
      <c r="F8" s="32">
        <v>10</v>
      </c>
      <c r="G8" s="32" t="s">
        <v>15</v>
      </c>
      <c r="H8" s="9" t="s">
        <v>16</v>
      </c>
      <c r="I8" s="32" t="s">
        <v>32</v>
      </c>
      <c r="J8" s="7" t="str">
        <f t="shared" si="0"/>
        <v>KARA</v>
      </c>
      <c r="K8" s="7" t="s">
        <v>229</v>
      </c>
      <c r="L8" s="32" t="s">
        <v>33</v>
      </c>
      <c r="M8" s="32">
        <v>22.86</v>
      </c>
      <c r="N8" s="27"/>
      <c r="O8" s="24">
        <v>70.8</v>
      </c>
    </row>
    <row r="9" spans="1:15" x14ac:dyDescent="0.2">
      <c r="A9" s="27" t="s">
        <v>195</v>
      </c>
      <c r="B9" s="29">
        <v>45492</v>
      </c>
      <c r="C9" s="27"/>
      <c r="D9" s="27"/>
      <c r="E9" s="27"/>
      <c r="F9" s="32">
        <v>20</v>
      </c>
      <c r="G9" s="32" t="s">
        <v>23</v>
      </c>
      <c r="H9" s="9" t="s">
        <v>16</v>
      </c>
      <c r="I9" s="32" t="s">
        <v>32</v>
      </c>
      <c r="J9" s="7" t="str">
        <f t="shared" si="0"/>
        <v>KARA</v>
      </c>
      <c r="K9" s="7" t="s">
        <v>229</v>
      </c>
      <c r="L9" s="32" t="s">
        <v>33</v>
      </c>
      <c r="M9" s="32">
        <v>25.02</v>
      </c>
      <c r="N9" s="27"/>
      <c r="O9" s="24">
        <v>72.2</v>
      </c>
    </row>
    <row r="10" spans="1:15" x14ac:dyDescent="0.2">
      <c r="A10" s="27" t="s">
        <v>196</v>
      </c>
      <c r="B10" s="29">
        <v>45492</v>
      </c>
      <c r="C10" s="27"/>
      <c r="D10" s="27"/>
      <c r="E10" s="27"/>
      <c r="F10" s="32">
        <v>11</v>
      </c>
      <c r="G10" s="32" t="s">
        <v>15</v>
      </c>
      <c r="H10" s="9" t="s">
        <v>16</v>
      </c>
      <c r="I10" s="32" t="s">
        <v>32</v>
      </c>
      <c r="J10" s="7" t="str">
        <f t="shared" si="0"/>
        <v>KARA</v>
      </c>
      <c r="K10" s="7" t="s">
        <v>229</v>
      </c>
      <c r="L10" s="32" t="s">
        <v>33</v>
      </c>
      <c r="M10" s="32">
        <v>26.84</v>
      </c>
      <c r="N10" s="27"/>
      <c r="O10" s="24">
        <v>90.2</v>
      </c>
    </row>
    <row r="11" spans="1:15" x14ac:dyDescent="0.2">
      <c r="A11" s="27" t="s">
        <v>197</v>
      </c>
      <c r="B11" s="29">
        <v>45492</v>
      </c>
      <c r="C11" s="27"/>
      <c r="D11" s="27"/>
      <c r="E11" s="27"/>
      <c r="F11" s="32">
        <v>26</v>
      </c>
      <c r="G11" s="32" t="s">
        <v>15</v>
      </c>
      <c r="H11" s="9" t="s">
        <v>16</v>
      </c>
      <c r="I11" s="32" t="s">
        <v>32</v>
      </c>
      <c r="J11" s="7" t="str">
        <f t="shared" si="0"/>
        <v>KARA</v>
      </c>
      <c r="K11" s="7" t="s">
        <v>229</v>
      </c>
      <c r="L11" s="32" t="s">
        <v>33</v>
      </c>
      <c r="M11" s="32">
        <v>25.53</v>
      </c>
      <c r="N11" s="27"/>
      <c r="O11" s="24">
        <v>94.7</v>
      </c>
    </row>
    <row r="12" spans="1:15" x14ac:dyDescent="0.2">
      <c r="A12" s="27" t="s">
        <v>198</v>
      </c>
      <c r="B12" s="29">
        <v>45492</v>
      </c>
      <c r="C12" s="27"/>
      <c r="D12" s="27"/>
      <c r="E12" s="27"/>
      <c r="F12" s="32">
        <v>33</v>
      </c>
      <c r="G12" s="32" t="s">
        <v>23</v>
      </c>
      <c r="H12" s="9" t="s">
        <v>16</v>
      </c>
      <c r="I12" s="32" t="s">
        <v>32</v>
      </c>
      <c r="J12" s="7" t="str">
        <f t="shared" si="0"/>
        <v>KARA</v>
      </c>
      <c r="K12" s="7" t="s">
        <v>229</v>
      </c>
      <c r="L12" s="32" t="s">
        <v>33</v>
      </c>
      <c r="M12" s="32">
        <v>23.74</v>
      </c>
      <c r="N12" s="27"/>
      <c r="O12" s="24">
        <v>87</v>
      </c>
    </row>
    <row r="13" spans="1:15" x14ac:dyDescent="0.2">
      <c r="A13" s="27" t="s">
        <v>199</v>
      </c>
      <c r="B13" s="29">
        <v>45495</v>
      </c>
      <c r="C13" s="27"/>
      <c r="D13" s="27"/>
      <c r="E13" s="27"/>
      <c r="F13" s="32">
        <v>19</v>
      </c>
      <c r="G13" s="32" t="s">
        <v>15</v>
      </c>
      <c r="H13" s="9" t="s">
        <v>16</v>
      </c>
      <c r="I13" s="32" t="s">
        <v>32</v>
      </c>
      <c r="J13" s="7" t="str">
        <f t="shared" si="0"/>
        <v>KARA</v>
      </c>
      <c r="K13" s="7" t="s">
        <v>229</v>
      </c>
      <c r="L13" s="32" t="s">
        <v>33</v>
      </c>
      <c r="M13" s="32">
        <v>25.71</v>
      </c>
      <c r="N13" s="27"/>
      <c r="O13" s="24">
        <v>83.1</v>
      </c>
    </row>
    <row r="14" spans="1:15" x14ac:dyDescent="0.2">
      <c r="A14" s="27" t="s">
        <v>200</v>
      </c>
      <c r="B14" s="29">
        <v>45495</v>
      </c>
      <c r="C14" s="27"/>
      <c r="D14" s="27"/>
      <c r="E14" s="27"/>
      <c r="F14" s="32">
        <v>4</v>
      </c>
      <c r="G14" s="32" t="s">
        <v>15</v>
      </c>
      <c r="H14" s="9" t="s">
        <v>16</v>
      </c>
      <c r="I14" s="32" t="s">
        <v>32</v>
      </c>
      <c r="J14" s="7" t="str">
        <f t="shared" si="0"/>
        <v>KARA</v>
      </c>
      <c r="K14" s="7" t="s">
        <v>229</v>
      </c>
      <c r="L14" s="32" t="s">
        <v>33</v>
      </c>
      <c r="M14" s="32">
        <v>24.97</v>
      </c>
      <c r="N14" s="27"/>
      <c r="O14" s="24">
        <v>93.4</v>
      </c>
    </row>
    <row r="15" spans="1:15" x14ac:dyDescent="0.2">
      <c r="A15" s="27" t="s">
        <v>201</v>
      </c>
      <c r="B15" s="29">
        <v>45495</v>
      </c>
      <c r="C15" s="27"/>
      <c r="D15" s="27"/>
      <c r="E15" s="27"/>
      <c r="F15" s="32">
        <v>22</v>
      </c>
      <c r="G15" s="32" t="s">
        <v>23</v>
      </c>
      <c r="H15" s="9" t="s">
        <v>16</v>
      </c>
      <c r="I15" s="32" t="s">
        <v>32</v>
      </c>
      <c r="J15" s="7" t="str">
        <f t="shared" si="0"/>
        <v>KARA</v>
      </c>
      <c r="K15" s="7" t="s">
        <v>229</v>
      </c>
      <c r="L15" s="32" t="s">
        <v>33</v>
      </c>
      <c r="M15" s="32">
        <v>31.1</v>
      </c>
      <c r="N15" s="27"/>
      <c r="O15" s="24">
        <v>40</v>
      </c>
    </row>
    <row r="16" spans="1:15" x14ac:dyDescent="0.2">
      <c r="A16" s="27" t="s">
        <v>202</v>
      </c>
      <c r="B16" s="29">
        <v>45495</v>
      </c>
      <c r="C16" s="27"/>
      <c r="D16" s="27"/>
      <c r="E16" s="27"/>
      <c r="F16" s="32">
        <v>26</v>
      </c>
      <c r="G16" s="32" t="s">
        <v>15</v>
      </c>
      <c r="H16" s="9" t="s">
        <v>16</v>
      </c>
      <c r="I16" s="32" t="s">
        <v>32</v>
      </c>
      <c r="J16" s="7" t="str">
        <f t="shared" si="0"/>
        <v>KARA</v>
      </c>
      <c r="K16" s="7" t="s">
        <v>229</v>
      </c>
      <c r="L16" s="32" t="s">
        <v>33</v>
      </c>
      <c r="M16" s="32">
        <v>30.68</v>
      </c>
      <c r="N16" s="27"/>
      <c r="O16" s="24">
        <v>1.3</v>
      </c>
    </row>
    <row r="17" spans="1:15" x14ac:dyDescent="0.2">
      <c r="A17" s="27" t="s">
        <v>203</v>
      </c>
      <c r="B17" s="29">
        <v>45495</v>
      </c>
      <c r="C17" s="27"/>
      <c r="D17" s="27"/>
      <c r="E17" s="27"/>
      <c r="F17" s="32">
        <v>17</v>
      </c>
      <c r="G17" s="32" t="s">
        <v>23</v>
      </c>
      <c r="H17" s="9" t="s">
        <v>16</v>
      </c>
      <c r="I17" s="32" t="s">
        <v>32</v>
      </c>
      <c r="J17" s="7" t="str">
        <f t="shared" si="0"/>
        <v>KARA</v>
      </c>
      <c r="K17" s="7" t="s">
        <v>229</v>
      </c>
      <c r="L17" s="32" t="s">
        <v>33</v>
      </c>
      <c r="M17" s="32">
        <v>21.52</v>
      </c>
      <c r="N17" s="27"/>
      <c r="O17" s="24">
        <v>91.9</v>
      </c>
    </row>
    <row r="18" spans="1:15" x14ac:dyDescent="0.2">
      <c r="A18" s="27" t="s">
        <v>204</v>
      </c>
      <c r="B18" s="29">
        <v>45495</v>
      </c>
      <c r="C18" s="27"/>
      <c r="D18" s="27"/>
      <c r="E18" s="27"/>
      <c r="F18" s="32">
        <v>39</v>
      </c>
      <c r="G18" s="32" t="s">
        <v>23</v>
      </c>
      <c r="H18" s="9" t="s">
        <v>16</v>
      </c>
      <c r="I18" s="32" t="s">
        <v>32</v>
      </c>
      <c r="J18" s="7" t="str">
        <f t="shared" si="0"/>
        <v>KARA</v>
      </c>
      <c r="K18" s="7" t="s">
        <v>229</v>
      </c>
      <c r="L18" s="32" t="s">
        <v>33</v>
      </c>
      <c r="M18" s="32">
        <v>26.66</v>
      </c>
      <c r="N18" s="27"/>
      <c r="O18" s="24">
        <v>58.5</v>
      </c>
    </row>
    <row r="19" spans="1:15" x14ac:dyDescent="0.2">
      <c r="A19" s="27" t="s">
        <v>205</v>
      </c>
      <c r="B19" s="29">
        <v>45496</v>
      </c>
      <c r="C19" s="27"/>
      <c r="D19" s="27"/>
      <c r="E19" s="27"/>
      <c r="F19" s="32">
        <v>19</v>
      </c>
      <c r="G19" s="32" t="s">
        <v>23</v>
      </c>
      <c r="H19" s="9" t="s">
        <v>16</v>
      </c>
      <c r="I19" s="32" t="s">
        <v>32</v>
      </c>
      <c r="J19" s="7" t="str">
        <f t="shared" si="0"/>
        <v>KARA</v>
      </c>
      <c r="K19" s="7" t="s">
        <v>229</v>
      </c>
      <c r="L19" s="32" t="s">
        <v>33</v>
      </c>
      <c r="M19" s="32">
        <v>31.28</v>
      </c>
      <c r="N19" s="27"/>
      <c r="O19" s="24">
        <v>54.4</v>
      </c>
    </row>
    <row r="20" spans="1:15" x14ac:dyDescent="0.2">
      <c r="A20" s="27" t="s">
        <v>206</v>
      </c>
      <c r="B20" s="29">
        <v>45496</v>
      </c>
      <c r="C20" s="27"/>
      <c r="D20" s="27"/>
      <c r="E20" s="27"/>
      <c r="F20" s="32">
        <v>5</v>
      </c>
      <c r="G20" s="32" t="s">
        <v>15</v>
      </c>
      <c r="H20" s="9" t="s">
        <v>16</v>
      </c>
      <c r="I20" s="32" t="s">
        <v>32</v>
      </c>
      <c r="J20" s="7" t="str">
        <f t="shared" si="0"/>
        <v>KARA</v>
      </c>
      <c r="K20" s="7" t="s">
        <v>229</v>
      </c>
      <c r="L20" s="32" t="s">
        <v>33</v>
      </c>
      <c r="M20" s="32">
        <v>25.3</v>
      </c>
      <c r="N20" s="27"/>
      <c r="O20" s="24">
        <v>94.7</v>
      </c>
    </row>
    <row r="21" spans="1:15" x14ac:dyDescent="0.2">
      <c r="A21" s="27" t="s">
        <v>207</v>
      </c>
      <c r="B21" s="29">
        <v>45496</v>
      </c>
      <c r="C21" s="27"/>
      <c r="D21" s="27"/>
      <c r="E21" s="27"/>
      <c r="F21" s="32">
        <v>27</v>
      </c>
      <c r="G21" s="32" t="s">
        <v>15</v>
      </c>
      <c r="H21" s="9" t="s">
        <v>16</v>
      </c>
      <c r="I21" s="32" t="s">
        <v>32</v>
      </c>
      <c r="J21" s="7" t="str">
        <f t="shared" si="0"/>
        <v>KARA</v>
      </c>
      <c r="K21" s="7" t="s">
        <v>229</v>
      </c>
      <c r="L21" s="32" t="s">
        <v>33</v>
      </c>
      <c r="M21" s="32">
        <v>29.34</v>
      </c>
      <c r="N21" s="27"/>
      <c r="O21" s="24">
        <v>95.4</v>
      </c>
    </row>
    <row r="22" spans="1:15" x14ac:dyDescent="0.2">
      <c r="A22" s="27" t="s">
        <v>208</v>
      </c>
      <c r="B22" s="29">
        <v>45496</v>
      </c>
      <c r="C22" s="27"/>
      <c r="D22" s="27"/>
      <c r="E22" s="27"/>
      <c r="F22" s="32">
        <v>10</v>
      </c>
      <c r="G22" s="32" t="s">
        <v>23</v>
      </c>
      <c r="H22" s="9" t="s">
        <v>16</v>
      </c>
      <c r="I22" s="32" t="s">
        <v>32</v>
      </c>
      <c r="J22" s="7" t="str">
        <f t="shared" si="0"/>
        <v>KARA</v>
      </c>
      <c r="K22" s="7" t="s">
        <v>229</v>
      </c>
      <c r="L22" s="32" t="s">
        <v>33</v>
      </c>
      <c r="M22" s="32">
        <v>24.07</v>
      </c>
      <c r="N22" s="27"/>
      <c r="O22" s="24">
        <v>94.9</v>
      </c>
    </row>
    <row r="23" spans="1:15" x14ac:dyDescent="0.2">
      <c r="A23" s="27" t="s">
        <v>209</v>
      </c>
      <c r="B23" s="29">
        <v>45496</v>
      </c>
      <c r="C23" s="27"/>
      <c r="D23" s="27"/>
      <c r="E23" s="27"/>
      <c r="F23" s="32">
        <v>19</v>
      </c>
      <c r="G23" s="32" t="s">
        <v>23</v>
      </c>
      <c r="H23" s="9" t="s">
        <v>16</v>
      </c>
      <c r="I23" s="32" t="s">
        <v>32</v>
      </c>
      <c r="J23" s="7" t="str">
        <f t="shared" si="0"/>
        <v>KARA</v>
      </c>
      <c r="K23" s="7" t="s">
        <v>229</v>
      </c>
      <c r="L23" s="32" t="s">
        <v>33</v>
      </c>
      <c r="M23" s="32">
        <v>24.25</v>
      </c>
      <c r="N23" s="27"/>
      <c r="O23" s="24">
        <v>94.6</v>
      </c>
    </row>
    <row r="24" spans="1:15" x14ac:dyDescent="0.2">
      <c r="A24" s="27" t="s">
        <v>210</v>
      </c>
      <c r="B24" s="29">
        <v>45497</v>
      </c>
      <c r="C24" s="27"/>
      <c r="D24" s="27"/>
      <c r="E24" s="27"/>
      <c r="F24" s="32">
        <v>24</v>
      </c>
      <c r="G24" s="32" t="s">
        <v>23</v>
      </c>
      <c r="H24" s="9" t="s">
        <v>16</v>
      </c>
      <c r="I24" s="32" t="s">
        <v>32</v>
      </c>
      <c r="J24" s="7" t="str">
        <f t="shared" si="0"/>
        <v>KARA</v>
      </c>
      <c r="K24" s="7" t="s">
        <v>229</v>
      </c>
      <c r="L24" s="32" t="s">
        <v>33</v>
      </c>
      <c r="M24" s="32">
        <v>21.96</v>
      </c>
      <c r="N24" s="27"/>
      <c r="O24" s="24">
        <v>93.4</v>
      </c>
    </row>
    <row r="25" spans="1:15" x14ac:dyDescent="0.2">
      <c r="A25" s="27" t="s">
        <v>211</v>
      </c>
      <c r="B25" s="29">
        <v>45498</v>
      </c>
      <c r="C25" s="27"/>
      <c r="D25" s="27"/>
      <c r="E25" s="27"/>
      <c r="F25" s="32">
        <v>45</v>
      </c>
      <c r="G25" s="32" t="s">
        <v>23</v>
      </c>
      <c r="H25" s="9" t="s">
        <v>16</v>
      </c>
      <c r="I25" s="32" t="s">
        <v>32</v>
      </c>
      <c r="J25" s="7" t="str">
        <f t="shared" si="0"/>
        <v>KARA</v>
      </c>
      <c r="K25" s="7" t="s">
        <v>229</v>
      </c>
      <c r="L25" s="32" t="s">
        <v>33</v>
      </c>
      <c r="M25" s="32">
        <v>30.06</v>
      </c>
      <c r="N25" s="27"/>
      <c r="O25" s="24">
        <v>91.8</v>
      </c>
    </row>
    <row r="26" spans="1:15" x14ac:dyDescent="0.2">
      <c r="A26" s="27" t="s">
        <v>212</v>
      </c>
      <c r="B26" s="29">
        <v>45492</v>
      </c>
      <c r="C26" s="27"/>
      <c r="D26" s="27"/>
      <c r="E26" s="27"/>
      <c r="F26" s="32">
        <v>39</v>
      </c>
      <c r="G26" s="32" t="s">
        <v>15</v>
      </c>
      <c r="H26" s="9" t="s">
        <v>16</v>
      </c>
      <c r="I26" s="32" t="s">
        <v>159</v>
      </c>
      <c r="J26" s="7" t="str">
        <f t="shared" si="0"/>
        <v>SAVANES</v>
      </c>
      <c r="K26" s="7" t="s">
        <v>231</v>
      </c>
      <c r="L26" s="32" t="s">
        <v>184</v>
      </c>
      <c r="M26" s="32">
        <v>28.02</v>
      </c>
      <c r="N26" s="27"/>
      <c r="O26" s="24">
        <v>91.2</v>
      </c>
    </row>
    <row r="27" spans="1:15" x14ac:dyDescent="0.2">
      <c r="A27" s="27" t="s">
        <v>213</v>
      </c>
      <c r="B27" s="29"/>
      <c r="C27" s="27"/>
      <c r="D27" s="27"/>
      <c r="E27" s="27"/>
      <c r="F27" s="32">
        <v>1</v>
      </c>
      <c r="G27" s="32" t="s">
        <v>23</v>
      </c>
      <c r="H27" s="9" t="s">
        <v>16</v>
      </c>
      <c r="I27" s="32" t="s">
        <v>159</v>
      </c>
      <c r="J27" s="7" t="str">
        <f t="shared" si="0"/>
        <v>SAVANES</v>
      </c>
      <c r="K27" s="7" t="s">
        <v>231</v>
      </c>
      <c r="L27" s="32" t="s">
        <v>184</v>
      </c>
      <c r="M27" s="32">
        <v>27.74</v>
      </c>
      <c r="N27" s="27"/>
      <c r="O27" s="24">
        <v>91.1</v>
      </c>
    </row>
    <row r="28" spans="1:15" x14ac:dyDescent="0.2">
      <c r="A28" s="27" t="s">
        <v>214</v>
      </c>
      <c r="B28" s="29">
        <v>45503</v>
      </c>
      <c r="C28" s="27"/>
      <c r="D28" s="27"/>
      <c r="E28" s="27"/>
      <c r="F28" s="32">
        <v>11</v>
      </c>
      <c r="G28" s="32" t="s">
        <v>15</v>
      </c>
      <c r="H28" s="9" t="s">
        <v>16</v>
      </c>
      <c r="I28" s="32" t="s">
        <v>159</v>
      </c>
      <c r="J28" s="7" t="str">
        <f t="shared" si="0"/>
        <v>SAVANES</v>
      </c>
      <c r="K28" s="7" t="s">
        <v>231</v>
      </c>
      <c r="L28" s="32" t="s">
        <v>184</v>
      </c>
      <c r="M28" s="32">
        <v>29.28</v>
      </c>
      <c r="N28" s="27"/>
      <c r="O28" s="24">
        <v>81</v>
      </c>
    </row>
    <row r="29" spans="1:15" x14ac:dyDescent="0.2">
      <c r="A29" s="27" t="s">
        <v>215</v>
      </c>
      <c r="B29" s="29">
        <v>45504</v>
      </c>
      <c r="C29" s="27"/>
      <c r="D29" s="27"/>
      <c r="E29" s="27"/>
      <c r="F29" s="32">
        <v>32</v>
      </c>
      <c r="G29" s="32" t="s">
        <v>23</v>
      </c>
      <c r="H29" s="9" t="s">
        <v>16</v>
      </c>
      <c r="I29" s="32" t="s">
        <v>159</v>
      </c>
      <c r="J29" s="7" t="str">
        <f t="shared" si="0"/>
        <v>SAVANES</v>
      </c>
      <c r="K29" s="7" t="s">
        <v>231</v>
      </c>
      <c r="L29" s="32" t="s">
        <v>184</v>
      </c>
      <c r="M29" s="32">
        <v>25.52</v>
      </c>
      <c r="N29" s="27"/>
      <c r="O29" s="24">
        <v>94.6</v>
      </c>
    </row>
    <row r="30" spans="1:15" x14ac:dyDescent="0.2">
      <c r="A30" s="27" t="s">
        <v>216</v>
      </c>
      <c r="B30" s="29">
        <v>45509</v>
      </c>
      <c r="C30" s="27"/>
      <c r="D30" s="27"/>
      <c r="E30" s="27"/>
      <c r="F30" s="32">
        <v>32</v>
      </c>
      <c r="G30" s="32" t="s">
        <v>23</v>
      </c>
      <c r="H30" s="9" t="s">
        <v>16</v>
      </c>
      <c r="I30" s="32" t="s">
        <v>159</v>
      </c>
      <c r="J30" s="7" t="str">
        <f t="shared" si="0"/>
        <v>SAVANES</v>
      </c>
      <c r="K30" s="7" t="s">
        <v>231</v>
      </c>
      <c r="L30" s="32" t="s">
        <v>184</v>
      </c>
      <c r="M30" s="32">
        <v>32.64</v>
      </c>
      <c r="N30" s="27"/>
      <c r="O30" s="24">
        <v>91.9</v>
      </c>
    </row>
    <row r="31" spans="1:15" x14ac:dyDescent="0.2">
      <c r="A31" s="27" t="s">
        <v>217</v>
      </c>
      <c r="B31" s="29">
        <v>45502</v>
      </c>
      <c r="C31" s="27"/>
      <c r="D31" s="27"/>
      <c r="E31" s="27"/>
      <c r="F31" s="32">
        <v>9</v>
      </c>
      <c r="G31" s="32" t="s">
        <v>23</v>
      </c>
      <c r="H31" s="9" t="s">
        <v>16</v>
      </c>
      <c r="I31" s="32" t="s">
        <v>159</v>
      </c>
      <c r="J31" s="7" t="str">
        <f t="shared" si="0"/>
        <v>SAVANES</v>
      </c>
      <c r="K31" s="7" t="s">
        <v>231</v>
      </c>
      <c r="L31" s="32" t="s">
        <v>184</v>
      </c>
      <c r="M31" s="32">
        <v>27.91</v>
      </c>
      <c r="N31" s="27"/>
      <c r="O31" s="24">
        <v>94.8</v>
      </c>
    </row>
    <row r="32" spans="1:15" x14ac:dyDescent="0.2">
      <c r="A32" s="27" t="s">
        <v>218</v>
      </c>
      <c r="B32" s="29">
        <v>45502</v>
      </c>
      <c r="C32" s="27"/>
      <c r="D32" s="27"/>
      <c r="E32" s="27"/>
      <c r="F32" s="32">
        <v>31</v>
      </c>
      <c r="G32" s="32" t="s">
        <v>23</v>
      </c>
      <c r="H32" s="9" t="s">
        <v>16</v>
      </c>
      <c r="I32" s="32" t="s">
        <v>159</v>
      </c>
      <c r="J32" s="7" t="str">
        <f t="shared" si="0"/>
        <v>SAVANES</v>
      </c>
      <c r="K32" s="7" t="s">
        <v>231</v>
      </c>
      <c r="L32" s="32" t="s">
        <v>184</v>
      </c>
      <c r="M32" s="32">
        <v>23.44</v>
      </c>
      <c r="N32" s="27"/>
      <c r="O32" s="24">
        <v>95.5</v>
      </c>
    </row>
    <row r="33" spans="1:15" x14ac:dyDescent="0.2">
      <c r="A33" s="27" t="s">
        <v>219</v>
      </c>
      <c r="B33" s="29">
        <v>45511</v>
      </c>
      <c r="C33" s="27"/>
      <c r="D33" s="27"/>
      <c r="E33" s="27"/>
      <c r="F33" s="32">
        <v>45</v>
      </c>
      <c r="G33" s="32" t="s">
        <v>15</v>
      </c>
      <c r="H33" s="9" t="s">
        <v>16</v>
      </c>
      <c r="I33" s="32" t="s">
        <v>159</v>
      </c>
      <c r="J33" s="7" t="str">
        <f t="shared" si="0"/>
        <v>SAVANES</v>
      </c>
      <c r="K33" s="7" t="s">
        <v>231</v>
      </c>
      <c r="L33" s="32" t="s">
        <v>184</v>
      </c>
      <c r="M33" s="32">
        <v>20.72</v>
      </c>
      <c r="N33" s="27"/>
      <c r="O33" s="24">
        <v>95.5</v>
      </c>
    </row>
    <row r="34" spans="1:15" x14ac:dyDescent="0.2">
      <c r="A34" s="27" t="s">
        <v>220</v>
      </c>
      <c r="B34" s="29">
        <v>45498</v>
      </c>
      <c r="C34" s="27"/>
      <c r="D34" s="27"/>
      <c r="E34" s="27"/>
      <c r="F34" s="32">
        <v>45</v>
      </c>
      <c r="G34" s="32" t="s">
        <v>186</v>
      </c>
      <c r="H34" s="9" t="s">
        <v>16</v>
      </c>
      <c r="I34" s="32" t="s">
        <v>32</v>
      </c>
      <c r="J34" s="7" t="str">
        <f t="shared" ref="J34:J65" si="1">UPPER(I34)</f>
        <v>KARA</v>
      </c>
      <c r="K34" s="7" t="s">
        <v>229</v>
      </c>
      <c r="L34" s="32" t="s">
        <v>33</v>
      </c>
      <c r="M34" s="32">
        <v>24.53</v>
      </c>
      <c r="N34" s="27"/>
      <c r="O34" s="24">
        <v>65</v>
      </c>
    </row>
    <row r="35" spans="1:15" x14ac:dyDescent="0.2">
      <c r="A35" s="27" t="s">
        <v>221</v>
      </c>
      <c r="B35" s="29">
        <v>45498</v>
      </c>
      <c r="C35" s="27"/>
      <c r="D35" s="27"/>
      <c r="E35" s="27"/>
      <c r="F35" s="32">
        <v>30</v>
      </c>
      <c r="G35" s="32" t="s">
        <v>23</v>
      </c>
      <c r="H35" s="9" t="s">
        <v>16</v>
      </c>
      <c r="I35" s="32" t="s">
        <v>32</v>
      </c>
      <c r="J35" s="7" t="str">
        <f t="shared" si="1"/>
        <v>KARA</v>
      </c>
      <c r="K35" s="7" t="s">
        <v>229</v>
      </c>
      <c r="L35" s="32" t="s">
        <v>33</v>
      </c>
      <c r="M35" s="32">
        <v>24.68</v>
      </c>
      <c r="N35" s="27"/>
      <c r="O35" s="24">
        <v>94.7</v>
      </c>
    </row>
    <row r="36" spans="1:15" x14ac:dyDescent="0.2">
      <c r="A36" s="27" t="s">
        <v>222</v>
      </c>
      <c r="B36" s="29">
        <v>45499</v>
      </c>
      <c r="C36" s="27"/>
      <c r="D36" s="27"/>
      <c r="E36" s="27"/>
      <c r="F36" s="32">
        <v>22</v>
      </c>
      <c r="G36" s="32" t="s">
        <v>23</v>
      </c>
      <c r="H36" s="9" t="s">
        <v>16</v>
      </c>
      <c r="I36" s="32" t="s">
        <v>32</v>
      </c>
      <c r="J36" s="7" t="str">
        <f t="shared" si="1"/>
        <v>KARA</v>
      </c>
      <c r="K36" s="7" t="s">
        <v>229</v>
      </c>
      <c r="L36" s="32" t="s">
        <v>33</v>
      </c>
      <c r="M36" s="32">
        <v>26.08</v>
      </c>
      <c r="N36" s="27"/>
      <c r="O36" s="24">
        <v>92.4</v>
      </c>
    </row>
    <row r="37" spans="1:15" x14ac:dyDescent="0.2">
      <c r="A37" s="27" t="s">
        <v>223</v>
      </c>
      <c r="B37" s="29">
        <v>45499</v>
      </c>
      <c r="C37" s="27"/>
      <c r="D37" s="27"/>
      <c r="E37" s="27"/>
      <c r="F37" s="32">
        <v>52</v>
      </c>
      <c r="G37" s="32" t="s">
        <v>23</v>
      </c>
      <c r="H37" s="9" t="s">
        <v>16</v>
      </c>
      <c r="I37" s="32" t="s">
        <v>32</v>
      </c>
      <c r="J37" s="7" t="str">
        <f t="shared" si="1"/>
        <v>KARA</v>
      </c>
      <c r="K37" s="7" t="s">
        <v>229</v>
      </c>
      <c r="L37" s="32" t="s">
        <v>33</v>
      </c>
      <c r="M37" s="32">
        <v>22.38</v>
      </c>
      <c r="N37" s="27"/>
      <c r="O37" s="24">
        <v>92.7</v>
      </c>
    </row>
    <row r="38" spans="1:15" x14ac:dyDescent="0.2">
      <c r="A38" s="27" t="s">
        <v>224</v>
      </c>
      <c r="B38" s="29"/>
      <c r="C38" s="27"/>
      <c r="D38" s="27"/>
      <c r="E38" s="27"/>
      <c r="F38" s="32"/>
      <c r="G38" s="32"/>
      <c r="H38" s="9" t="s">
        <v>16</v>
      </c>
      <c r="I38" s="32" t="s">
        <v>70</v>
      </c>
      <c r="J38" s="7" t="str">
        <f t="shared" si="1"/>
        <v>PLATEAUX</v>
      </c>
      <c r="K38" s="7" t="s">
        <v>230</v>
      </c>
      <c r="L38" s="32" t="s">
        <v>185</v>
      </c>
      <c r="M38" s="32">
        <v>31.62</v>
      </c>
      <c r="N38" s="27"/>
      <c r="O38" s="24">
        <v>70.5</v>
      </c>
    </row>
    <row r="39" spans="1:15" x14ac:dyDescent="0.2">
      <c r="A39" s="12" t="s">
        <v>45</v>
      </c>
      <c r="B39" s="8">
        <v>45428</v>
      </c>
      <c r="C39" s="9" t="s">
        <v>12</v>
      </c>
      <c r="D39" s="7" t="s">
        <v>13</v>
      </c>
      <c r="E39" s="9" t="s">
        <v>22</v>
      </c>
      <c r="F39" s="7">
        <v>33</v>
      </c>
      <c r="G39" s="7" t="s">
        <v>15</v>
      </c>
      <c r="H39" s="9" t="s">
        <v>16</v>
      </c>
      <c r="I39" s="7" t="s">
        <v>17</v>
      </c>
      <c r="J39" s="7" t="str">
        <f t="shared" si="1"/>
        <v>GRAND LOMÉ</v>
      </c>
      <c r="K39" s="7" t="s">
        <v>232</v>
      </c>
      <c r="L39" s="7" t="s">
        <v>18</v>
      </c>
      <c r="M39" s="22"/>
      <c r="N39" s="16" t="s">
        <v>46</v>
      </c>
      <c r="O39" s="11">
        <v>0</v>
      </c>
    </row>
    <row r="40" spans="1:15" x14ac:dyDescent="0.2">
      <c r="A40" s="12" t="s">
        <v>47</v>
      </c>
      <c r="B40" s="8"/>
      <c r="C40" s="9" t="s">
        <v>12</v>
      </c>
      <c r="D40" s="7" t="s">
        <v>13</v>
      </c>
      <c r="E40" s="9" t="s">
        <v>22</v>
      </c>
      <c r="F40" s="7">
        <v>32</v>
      </c>
      <c r="G40" s="7" t="s">
        <v>23</v>
      </c>
      <c r="H40" s="9" t="s">
        <v>16</v>
      </c>
      <c r="I40" s="7" t="s">
        <v>17</v>
      </c>
      <c r="J40" s="7" t="str">
        <f t="shared" si="1"/>
        <v>GRAND LOMÉ</v>
      </c>
      <c r="K40" s="7" t="s">
        <v>232</v>
      </c>
      <c r="L40" s="7" t="s">
        <v>18</v>
      </c>
      <c r="M40" s="22"/>
      <c r="N40" s="16" t="s">
        <v>46</v>
      </c>
      <c r="O40" s="11">
        <v>0</v>
      </c>
    </row>
    <row r="41" spans="1:15" x14ac:dyDescent="0.2">
      <c r="A41" s="12" t="s">
        <v>48</v>
      </c>
      <c r="B41" s="8"/>
      <c r="C41" s="9" t="s">
        <v>12</v>
      </c>
      <c r="D41" s="7" t="s">
        <v>13</v>
      </c>
      <c r="E41" s="9" t="s">
        <v>22</v>
      </c>
      <c r="F41" s="7">
        <v>21</v>
      </c>
      <c r="G41" s="7" t="s">
        <v>15</v>
      </c>
      <c r="H41" s="9" t="s">
        <v>16</v>
      </c>
      <c r="I41" s="7" t="s">
        <v>17</v>
      </c>
      <c r="J41" s="7" t="str">
        <f t="shared" si="1"/>
        <v>GRAND LOMÉ</v>
      </c>
      <c r="K41" s="7" t="s">
        <v>232</v>
      </c>
      <c r="L41" s="7" t="s">
        <v>18</v>
      </c>
      <c r="M41" s="22"/>
      <c r="N41" s="16" t="s">
        <v>46</v>
      </c>
      <c r="O41" s="11">
        <v>0</v>
      </c>
    </row>
    <row r="42" spans="1:15" x14ac:dyDescent="0.2">
      <c r="A42" s="12" t="s">
        <v>49</v>
      </c>
      <c r="B42" s="8"/>
      <c r="C42" s="9" t="s">
        <v>12</v>
      </c>
      <c r="D42" s="7" t="s">
        <v>13</v>
      </c>
      <c r="E42" s="9" t="s">
        <v>22</v>
      </c>
      <c r="F42" s="7">
        <v>51</v>
      </c>
      <c r="G42" s="7" t="s">
        <v>23</v>
      </c>
      <c r="H42" s="9" t="s">
        <v>16</v>
      </c>
      <c r="I42" s="7" t="s">
        <v>17</v>
      </c>
      <c r="J42" s="7" t="str">
        <f t="shared" si="1"/>
        <v>GRAND LOMÉ</v>
      </c>
      <c r="K42" s="7" t="s">
        <v>232</v>
      </c>
      <c r="L42" s="7" t="s">
        <v>18</v>
      </c>
      <c r="M42" s="22"/>
      <c r="N42" s="16" t="s">
        <v>46</v>
      </c>
      <c r="O42" s="11">
        <v>0</v>
      </c>
    </row>
    <row r="43" spans="1:15" x14ac:dyDescent="0.2">
      <c r="A43" s="12" t="s">
        <v>50</v>
      </c>
      <c r="B43" s="8"/>
      <c r="C43" s="9" t="s">
        <v>12</v>
      </c>
      <c r="D43" s="7" t="s">
        <v>13</v>
      </c>
      <c r="E43" s="9" t="s">
        <v>22</v>
      </c>
      <c r="F43" s="7">
        <v>38</v>
      </c>
      <c r="G43" s="7" t="s">
        <v>15</v>
      </c>
      <c r="H43" s="9" t="s">
        <v>16</v>
      </c>
      <c r="I43" s="7" t="s">
        <v>17</v>
      </c>
      <c r="J43" s="7" t="str">
        <f t="shared" si="1"/>
        <v>GRAND LOMÉ</v>
      </c>
      <c r="K43" s="7" t="s">
        <v>232</v>
      </c>
      <c r="L43" s="7" t="s">
        <v>18</v>
      </c>
      <c r="M43" s="22"/>
      <c r="N43" s="16" t="s">
        <v>46</v>
      </c>
      <c r="O43" s="11">
        <v>0</v>
      </c>
    </row>
    <row r="44" spans="1:15" x14ac:dyDescent="0.2">
      <c r="A44" s="12" t="s">
        <v>51</v>
      </c>
      <c r="B44" s="8"/>
      <c r="C44" s="9" t="s">
        <v>12</v>
      </c>
      <c r="D44" s="7" t="s">
        <v>13</v>
      </c>
      <c r="E44" s="9" t="s">
        <v>22</v>
      </c>
      <c r="F44" s="7">
        <v>30</v>
      </c>
      <c r="G44" s="7" t="s">
        <v>15</v>
      </c>
      <c r="H44" s="9" t="s">
        <v>16</v>
      </c>
      <c r="I44" s="7" t="s">
        <v>17</v>
      </c>
      <c r="J44" s="7" t="str">
        <f t="shared" si="1"/>
        <v>GRAND LOMÉ</v>
      </c>
      <c r="K44" s="7" t="s">
        <v>232</v>
      </c>
      <c r="L44" s="7" t="s">
        <v>18</v>
      </c>
      <c r="M44" s="22"/>
      <c r="N44" s="16" t="s">
        <v>46</v>
      </c>
      <c r="O44" s="11">
        <v>0</v>
      </c>
    </row>
    <row r="45" spans="1:15" x14ac:dyDescent="0.2">
      <c r="A45" s="12" t="s">
        <v>117</v>
      </c>
      <c r="B45" s="8">
        <v>45444</v>
      </c>
      <c r="C45" s="9" t="s">
        <v>12</v>
      </c>
      <c r="D45" s="7" t="s">
        <v>13</v>
      </c>
      <c r="E45" s="9" t="s">
        <v>22</v>
      </c>
      <c r="F45" s="7">
        <v>15</v>
      </c>
      <c r="G45" s="7" t="s">
        <v>15</v>
      </c>
      <c r="H45" s="9" t="s">
        <v>16</v>
      </c>
      <c r="I45" s="7" t="s">
        <v>17</v>
      </c>
      <c r="J45" s="7" t="str">
        <f t="shared" si="1"/>
        <v>GRAND LOMÉ</v>
      </c>
      <c r="K45" s="7" t="s">
        <v>232</v>
      </c>
      <c r="L45" s="7" t="s">
        <v>18</v>
      </c>
      <c r="M45" s="21">
        <v>27.786000000000001</v>
      </c>
      <c r="N45" s="10" t="s">
        <v>20</v>
      </c>
      <c r="O45" s="11">
        <v>77</v>
      </c>
    </row>
    <row r="46" spans="1:15" x14ac:dyDescent="0.2">
      <c r="A46" s="12" t="s">
        <v>52</v>
      </c>
      <c r="B46" s="8">
        <v>45446</v>
      </c>
      <c r="C46" s="9" t="s">
        <v>12</v>
      </c>
      <c r="D46" s="7" t="s">
        <v>13</v>
      </c>
      <c r="E46" s="9" t="s">
        <v>22</v>
      </c>
      <c r="F46" s="7">
        <v>3</v>
      </c>
      <c r="G46" s="7" t="s">
        <v>23</v>
      </c>
      <c r="H46" s="9" t="s">
        <v>16</v>
      </c>
      <c r="I46" s="7" t="s">
        <v>17</v>
      </c>
      <c r="J46" s="7" t="str">
        <f t="shared" si="1"/>
        <v>GRAND LOMÉ</v>
      </c>
      <c r="K46" s="7" t="s">
        <v>232</v>
      </c>
      <c r="L46" s="7" t="s">
        <v>18</v>
      </c>
      <c r="M46" s="22"/>
      <c r="N46" s="16" t="s">
        <v>46</v>
      </c>
      <c r="O46" s="11">
        <v>0</v>
      </c>
    </row>
    <row r="47" spans="1:15" x14ac:dyDescent="0.2">
      <c r="A47" s="12" t="s">
        <v>122</v>
      </c>
      <c r="B47" s="8">
        <v>45446</v>
      </c>
      <c r="C47" s="9" t="s">
        <v>12</v>
      </c>
      <c r="D47" s="7" t="s">
        <v>13</v>
      </c>
      <c r="E47" s="9" t="s">
        <v>22</v>
      </c>
      <c r="F47" s="7">
        <v>64</v>
      </c>
      <c r="G47" s="7" t="s">
        <v>23</v>
      </c>
      <c r="H47" s="9" t="s">
        <v>16</v>
      </c>
      <c r="I47" s="7" t="s">
        <v>17</v>
      </c>
      <c r="J47" s="7" t="str">
        <f t="shared" si="1"/>
        <v>GRAND LOMÉ</v>
      </c>
      <c r="K47" s="7" t="s">
        <v>232</v>
      </c>
      <c r="L47" s="7" t="s">
        <v>18</v>
      </c>
      <c r="M47" s="21">
        <v>27.576000000000001</v>
      </c>
      <c r="N47" s="10" t="s">
        <v>20</v>
      </c>
      <c r="O47" s="11">
        <v>81.400000000000006</v>
      </c>
    </row>
    <row r="48" spans="1:15" x14ac:dyDescent="0.2">
      <c r="A48" s="12" t="s">
        <v>106</v>
      </c>
      <c r="B48" s="13">
        <v>45457</v>
      </c>
      <c r="C48" s="9" t="s">
        <v>12</v>
      </c>
      <c r="D48" s="7" t="s">
        <v>13</v>
      </c>
      <c r="E48" s="9" t="s">
        <v>22</v>
      </c>
      <c r="F48" s="7">
        <v>27</v>
      </c>
      <c r="G48" s="7" t="s">
        <v>15</v>
      </c>
      <c r="H48" s="9" t="s">
        <v>16</v>
      </c>
      <c r="I48" s="7" t="s">
        <v>17</v>
      </c>
      <c r="J48" s="7" t="str">
        <f t="shared" si="1"/>
        <v>GRAND LOMÉ</v>
      </c>
      <c r="K48" s="7" t="s">
        <v>232</v>
      </c>
      <c r="L48" s="7" t="s">
        <v>18</v>
      </c>
      <c r="M48" s="21">
        <v>24.954000000000001</v>
      </c>
      <c r="N48" s="10" t="s">
        <v>20</v>
      </c>
      <c r="O48" s="11">
        <v>56.3</v>
      </c>
    </row>
    <row r="49" spans="1:15" x14ac:dyDescent="0.2">
      <c r="A49" s="12" t="s">
        <v>137</v>
      </c>
      <c r="B49" s="13">
        <v>45457</v>
      </c>
      <c r="C49" s="9" t="s">
        <v>12</v>
      </c>
      <c r="D49" s="7" t="s">
        <v>13</v>
      </c>
      <c r="E49" s="9" t="s">
        <v>22</v>
      </c>
      <c r="F49" s="7">
        <v>29</v>
      </c>
      <c r="G49" s="7" t="s">
        <v>23</v>
      </c>
      <c r="H49" s="9" t="s">
        <v>16</v>
      </c>
      <c r="I49" s="7" t="s">
        <v>17</v>
      </c>
      <c r="J49" s="7" t="str">
        <f t="shared" si="1"/>
        <v>GRAND LOMÉ</v>
      </c>
      <c r="K49" s="7" t="s">
        <v>232</v>
      </c>
      <c r="L49" s="7" t="s">
        <v>18</v>
      </c>
      <c r="M49" s="21">
        <v>25.547999999999998</v>
      </c>
      <c r="N49" s="10" t="s">
        <v>20</v>
      </c>
      <c r="O49" s="11">
        <v>91.6</v>
      </c>
    </row>
    <row r="50" spans="1:15" x14ac:dyDescent="0.2">
      <c r="A50" s="12" t="s">
        <v>55</v>
      </c>
      <c r="B50" s="13">
        <v>45461</v>
      </c>
      <c r="C50" s="9" t="s">
        <v>12</v>
      </c>
      <c r="D50" s="7" t="s">
        <v>13</v>
      </c>
      <c r="E50" s="9" t="s">
        <v>22</v>
      </c>
      <c r="F50" s="7">
        <v>22</v>
      </c>
      <c r="G50" s="7" t="s">
        <v>23</v>
      </c>
      <c r="H50" s="9" t="s">
        <v>16</v>
      </c>
      <c r="I50" s="7" t="s">
        <v>17</v>
      </c>
      <c r="J50" s="7" t="str">
        <f t="shared" si="1"/>
        <v>GRAND LOMÉ</v>
      </c>
      <c r="K50" s="7" t="s">
        <v>232</v>
      </c>
      <c r="L50" s="7" t="s">
        <v>18</v>
      </c>
      <c r="M50" s="22"/>
      <c r="N50" s="16" t="s">
        <v>46</v>
      </c>
      <c r="O50" s="11">
        <v>0</v>
      </c>
    </row>
    <row r="51" spans="1:15" x14ac:dyDescent="0.2">
      <c r="A51" s="12" t="s">
        <v>56</v>
      </c>
      <c r="B51" s="13">
        <v>45461</v>
      </c>
      <c r="C51" s="9" t="s">
        <v>12</v>
      </c>
      <c r="D51" s="7" t="s">
        <v>13</v>
      </c>
      <c r="E51" s="9" t="s">
        <v>22</v>
      </c>
      <c r="F51" s="7">
        <v>37</v>
      </c>
      <c r="G51" s="7" t="s">
        <v>23</v>
      </c>
      <c r="H51" s="9" t="s">
        <v>16</v>
      </c>
      <c r="I51" s="7" t="s">
        <v>17</v>
      </c>
      <c r="J51" s="7" t="str">
        <f t="shared" si="1"/>
        <v>GRAND LOMÉ</v>
      </c>
      <c r="K51" s="7" t="s">
        <v>232</v>
      </c>
      <c r="L51" s="7" t="s">
        <v>18</v>
      </c>
      <c r="M51" s="22"/>
      <c r="N51" s="16" t="s">
        <v>46</v>
      </c>
      <c r="O51" s="11">
        <v>0</v>
      </c>
    </row>
    <row r="52" spans="1:15" x14ac:dyDescent="0.2">
      <c r="A52" s="12" t="s">
        <v>139</v>
      </c>
      <c r="B52" s="13">
        <v>45462</v>
      </c>
      <c r="C52" s="9" t="s">
        <v>12</v>
      </c>
      <c r="D52" s="7" t="s">
        <v>13</v>
      </c>
      <c r="E52" s="9" t="s">
        <v>22</v>
      </c>
      <c r="F52" s="7">
        <v>52</v>
      </c>
      <c r="G52" s="7" t="s">
        <v>15</v>
      </c>
      <c r="H52" s="9" t="s">
        <v>16</v>
      </c>
      <c r="I52" s="7" t="s">
        <v>17</v>
      </c>
      <c r="J52" s="7" t="str">
        <f t="shared" si="1"/>
        <v>GRAND LOMÉ</v>
      </c>
      <c r="K52" s="7" t="s">
        <v>232</v>
      </c>
      <c r="L52" s="7" t="s">
        <v>18</v>
      </c>
      <c r="M52" s="21">
        <v>27.026</v>
      </c>
      <c r="N52" s="10" t="s">
        <v>20</v>
      </c>
      <c r="O52" s="11">
        <v>91.9</v>
      </c>
    </row>
    <row r="53" spans="1:15" x14ac:dyDescent="0.2">
      <c r="A53" s="12" t="s">
        <v>86</v>
      </c>
      <c r="B53" s="13">
        <v>45462</v>
      </c>
      <c r="C53" s="9" t="s">
        <v>12</v>
      </c>
      <c r="D53" s="7" t="s">
        <v>13</v>
      </c>
      <c r="E53" s="9" t="s">
        <v>22</v>
      </c>
      <c r="F53" s="7">
        <v>56</v>
      </c>
      <c r="G53" s="7" t="s">
        <v>23</v>
      </c>
      <c r="H53" s="9" t="s">
        <v>16</v>
      </c>
      <c r="I53" s="7" t="s">
        <v>17</v>
      </c>
      <c r="J53" s="7" t="str">
        <f t="shared" si="1"/>
        <v>GRAND LOMÉ</v>
      </c>
      <c r="K53" s="7" t="s">
        <v>232</v>
      </c>
      <c r="L53" s="7" t="s">
        <v>18</v>
      </c>
      <c r="M53" s="21">
        <v>33.270000000000003</v>
      </c>
      <c r="N53" s="10" t="s">
        <v>20</v>
      </c>
      <c r="O53" s="11">
        <v>16</v>
      </c>
    </row>
    <row r="54" spans="1:15" x14ac:dyDescent="0.2">
      <c r="A54" s="12" t="s">
        <v>29</v>
      </c>
      <c r="B54" s="13">
        <v>45463</v>
      </c>
      <c r="C54" s="9" t="s">
        <v>12</v>
      </c>
      <c r="D54" s="7" t="s">
        <v>13</v>
      </c>
      <c r="E54" s="9" t="s">
        <v>22</v>
      </c>
      <c r="F54" s="7">
        <v>53</v>
      </c>
      <c r="G54" s="7" t="s">
        <v>15</v>
      </c>
      <c r="H54" s="9" t="s">
        <v>16</v>
      </c>
      <c r="I54" s="7" t="s">
        <v>17</v>
      </c>
      <c r="J54" s="7" t="str">
        <f t="shared" si="1"/>
        <v>GRAND LOMÉ</v>
      </c>
      <c r="K54" s="7" t="s">
        <v>232</v>
      </c>
      <c r="L54" s="7" t="s">
        <v>18</v>
      </c>
      <c r="M54" s="21">
        <v>25.896000000000001</v>
      </c>
      <c r="N54" s="10" t="s">
        <v>20</v>
      </c>
      <c r="O54" s="11">
        <v>0</v>
      </c>
    </row>
    <row r="55" spans="1:15" x14ac:dyDescent="0.2">
      <c r="A55" s="12" t="s">
        <v>149</v>
      </c>
      <c r="B55" s="13">
        <v>45463</v>
      </c>
      <c r="C55" s="9" t="s">
        <v>12</v>
      </c>
      <c r="D55" s="7" t="s">
        <v>13</v>
      </c>
      <c r="E55" s="9" t="s">
        <v>22</v>
      </c>
      <c r="F55" s="7">
        <v>21</v>
      </c>
      <c r="G55" s="7" t="s">
        <v>15</v>
      </c>
      <c r="H55" s="9" t="s">
        <v>16</v>
      </c>
      <c r="I55" s="7" t="s">
        <v>17</v>
      </c>
      <c r="J55" s="7" t="str">
        <f t="shared" si="1"/>
        <v>GRAND LOMÉ</v>
      </c>
      <c r="K55" s="7" t="s">
        <v>232</v>
      </c>
      <c r="L55" s="7" t="s">
        <v>18</v>
      </c>
      <c r="M55" s="21">
        <v>25.966999999999999</v>
      </c>
      <c r="N55" s="10" t="s">
        <v>20</v>
      </c>
      <c r="O55" s="11">
        <v>93.9</v>
      </c>
    </row>
    <row r="56" spans="1:15" x14ac:dyDescent="0.2">
      <c r="A56" s="12" t="s">
        <v>57</v>
      </c>
      <c r="B56" s="13">
        <v>45465</v>
      </c>
      <c r="C56" s="9" t="s">
        <v>12</v>
      </c>
      <c r="D56" s="7" t="s">
        <v>13</v>
      </c>
      <c r="E56" s="9" t="s">
        <v>22</v>
      </c>
      <c r="F56" s="7">
        <v>18</v>
      </c>
      <c r="G56" s="7" t="s">
        <v>23</v>
      </c>
      <c r="H56" s="9" t="s">
        <v>16</v>
      </c>
      <c r="I56" s="7" t="s">
        <v>17</v>
      </c>
      <c r="J56" s="7" t="str">
        <f t="shared" si="1"/>
        <v>GRAND LOMÉ</v>
      </c>
      <c r="K56" s="7" t="s">
        <v>232</v>
      </c>
      <c r="L56" s="7" t="s">
        <v>18</v>
      </c>
      <c r="M56" s="22"/>
      <c r="N56" s="16" t="s">
        <v>46</v>
      </c>
      <c r="O56" s="11">
        <v>0</v>
      </c>
    </row>
    <row r="57" spans="1:15" x14ac:dyDescent="0.2">
      <c r="A57" s="12" t="s">
        <v>97</v>
      </c>
      <c r="B57" s="13">
        <v>45467</v>
      </c>
      <c r="C57" s="9" t="s">
        <v>12</v>
      </c>
      <c r="D57" s="7" t="s">
        <v>13</v>
      </c>
      <c r="E57" s="9" t="s">
        <v>22</v>
      </c>
      <c r="F57" s="7">
        <v>52</v>
      </c>
      <c r="G57" s="7" t="s">
        <v>23</v>
      </c>
      <c r="H57" s="9" t="s">
        <v>16</v>
      </c>
      <c r="I57" s="7" t="s">
        <v>17</v>
      </c>
      <c r="J57" s="7" t="str">
        <f t="shared" si="1"/>
        <v>GRAND LOMÉ</v>
      </c>
      <c r="K57" s="7" t="s">
        <v>232</v>
      </c>
      <c r="L57" s="7" t="s">
        <v>18</v>
      </c>
      <c r="M57" s="21">
        <v>27.898</v>
      </c>
      <c r="N57" s="10" t="s">
        <v>20</v>
      </c>
      <c r="O57" s="11">
        <v>43.3</v>
      </c>
    </row>
    <row r="58" spans="1:15" x14ac:dyDescent="0.2">
      <c r="A58" s="12" t="s">
        <v>132</v>
      </c>
      <c r="B58" s="13">
        <v>45468</v>
      </c>
      <c r="C58" s="9" t="s">
        <v>12</v>
      </c>
      <c r="D58" s="7" t="s">
        <v>13</v>
      </c>
      <c r="E58" s="9" t="s">
        <v>22</v>
      </c>
      <c r="F58" s="7">
        <v>25</v>
      </c>
      <c r="G58" s="7" t="s">
        <v>23</v>
      </c>
      <c r="H58" s="9" t="s">
        <v>16</v>
      </c>
      <c r="I58" s="7" t="s">
        <v>17</v>
      </c>
      <c r="J58" s="7" t="str">
        <f t="shared" si="1"/>
        <v>GRAND LOMÉ</v>
      </c>
      <c r="K58" s="7" t="s">
        <v>232</v>
      </c>
      <c r="L58" s="7" t="s">
        <v>18</v>
      </c>
      <c r="M58" s="21">
        <v>28.885999999999999</v>
      </c>
      <c r="N58" s="10" t="s">
        <v>20</v>
      </c>
      <c r="O58" s="11">
        <v>90.1</v>
      </c>
    </row>
    <row r="59" spans="1:15" x14ac:dyDescent="0.2">
      <c r="A59" s="12" t="s">
        <v>129</v>
      </c>
      <c r="B59" s="13">
        <v>45469</v>
      </c>
      <c r="C59" s="9" t="s">
        <v>12</v>
      </c>
      <c r="D59" s="7" t="s">
        <v>13</v>
      </c>
      <c r="E59" s="9" t="s">
        <v>22</v>
      </c>
      <c r="F59" s="7">
        <v>37</v>
      </c>
      <c r="G59" s="7" t="s">
        <v>23</v>
      </c>
      <c r="H59" s="9" t="s">
        <v>16</v>
      </c>
      <c r="I59" s="7" t="s">
        <v>17</v>
      </c>
      <c r="J59" s="7" t="str">
        <f t="shared" si="1"/>
        <v>GRAND LOMÉ</v>
      </c>
      <c r="K59" s="7" t="s">
        <v>232</v>
      </c>
      <c r="L59" s="7" t="s">
        <v>18</v>
      </c>
      <c r="M59" s="21">
        <v>26.038</v>
      </c>
      <c r="N59" s="10" t="s">
        <v>20</v>
      </c>
      <c r="O59" s="11">
        <v>87.8</v>
      </c>
    </row>
    <row r="60" spans="1:15" x14ac:dyDescent="0.2">
      <c r="A60" s="12" t="s">
        <v>121</v>
      </c>
      <c r="B60" s="13">
        <v>45469</v>
      </c>
      <c r="C60" s="9" t="s">
        <v>12</v>
      </c>
      <c r="D60" s="7" t="s">
        <v>13</v>
      </c>
      <c r="E60" s="9" t="s">
        <v>22</v>
      </c>
      <c r="F60" s="7">
        <v>28</v>
      </c>
      <c r="G60" s="7" t="s">
        <v>23</v>
      </c>
      <c r="H60" s="9" t="s">
        <v>16</v>
      </c>
      <c r="I60" s="7" t="s">
        <v>17</v>
      </c>
      <c r="J60" s="7" t="str">
        <f t="shared" si="1"/>
        <v>GRAND LOMÉ</v>
      </c>
      <c r="K60" s="7" t="s">
        <v>232</v>
      </c>
      <c r="L60" s="7" t="s">
        <v>18</v>
      </c>
      <c r="M60" s="21">
        <v>30.922000000000001</v>
      </c>
      <c r="N60" s="10" t="s">
        <v>20</v>
      </c>
      <c r="O60" s="11">
        <v>79.900000000000006</v>
      </c>
    </row>
    <row r="61" spans="1:15" x14ac:dyDescent="0.2">
      <c r="A61" s="12" t="s">
        <v>105</v>
      </c>
      <c r="B61" s="13">
        <v>45469</v>
      </c>
      <c r="C61" s="9" t="s">
        <v>12</v>
      </c>
      <c r="D61" s="7" t="s">
        <v>13</v>
      </c>
      <c r="E61" s="9" t="s">
        <v>22</v>
      </c>
      <c r="F61" s="7">
        <v>21</v>
      </c>
      <c r="G61" s="7" t="s">
        <v>15</v>
      </c>
      <c r="H61" s="9" t="s">
        <v>16</v>
      </c>
      <c r="I61" s="7" t="s">
        <v>17</v>
      </c>
      <c r="J61" s="7" t="str">
        <f t="shared" si="1"/>
        <v>GRAND LOMÉ</v>
      </c>
      <c r="K61" s="7" t="s">
        <v>232</v>
      </c>
      <c r="L61" s="7" t="s">
        <v>18</v>
      </c>
      <c r="M61" s="21">
        <v>26.690999999999999</v>
      </c>
      <c r="N61" s="10" t="s">
        <v>20</v>
      </c>
      <c r="O61" s="11">
        <v>55.7</v>
      </c>
    </row>
    <row r="62" spans="1:15" x14ac:dyDescent="0.2">
      <c r="A62" s="12" t="s">
        <v>154</v>
      </c>
      <c r="B62" s="13">
        <v>45469</v>
      </c>
      <c r="C62" s="9" t="s">
        <v>12</v>
      </c>
      <c r="D62" s="7" t="s">
        <v>13</v>
      </c>
      <c r="E62" s="9" t="s">
        <v>22</v>
      </c>
      <c r="F62" s="7">
        <v>34</v>
      </c>
      <c r="G62" s="7" t="s">
        <v>23</v>
      </c>
      <c r="H62" s="9" t="s">
        <v>16</v>
      </c>
      <c r="I62" s="7" t="s">
        <v>17</v>
      </c>
      <c r="J62" s="7" t="str">
        <f t="shared" si="1"/>
        <v>GRAND LOMÉ</v>
      </c>
      <c r="K62" s="7" t="s">
        <v>232</v>
      </c>
      <c r="L62" s="7" t="s">
        <v>18</v>
      </c>
      <c r="M62" s="21">
        <v>23.44</v>
      </c>
      <c r="N62" s="10" t="s">
        <v>20</v>
      </c>
      <c r="O62" s="11">
        <v>94.8</v>
      </c>
    </row>
    <row r="63" spans="1:15" x14ac:dyDescent="0.2">
      <c r="A63" s="12" t="s">
        <v>127</v>
      </c>
      <c r="B63" s="13">
        <v>45470</v>
      </c>
      <c r="C63" s="9" t="s">
        <v>12</v>
      </c>
      <c r="D63" s="7" t="s">
        <v>13</v>
      </c>
      <c r="E63" s="9" t="s">
        <v>22</v>
      </c>
      <c r="F63" s="7">
        <v>36</v>
      </c>
      <c r="G63" s="7" t="s">
        <v>23</v>
      </c>
      <c r="H63" s="9" t="s">
        <v>16</v>
      </c>
      <c r="I63" s="7" t="s">
        <v>17</v>
      </c>
      <c r="J63" s="7" t="str">
        <f t="shared" si="1"/>
        <v>GRAND LOMÉ</v>
      </c>
      <c r="K63" s="7" t="s">
        <v>232</v>
      </c>
      <c r="L63" s="7" t="s">
        <v>18</v>
      </c>
      <c r="M63" s="21">
        <v>26.303999999999998</v>
      </c>
      <c r="N63" s="10" t="s">
        <v>20</v>
      </c>
      <c r="O63" s="11">
        <v>85.1</v>
      </c>
    </row>
    <row r="64" spans="1:15" x14ac:dyDescent="0.2">
      <c r="A64" s="12" t="s">
        <v>91</v>
      </c>
      <c r="B64" s="13">
        <v>45470</v>
      </c>
      <c r="C64" s="9" t="s">
        <v>12</v>
      </c>
      <c r="D64" s="7" t="s">
        <v>13</v>
      </c>
      <c r="E64" s="9" t="s">
        <v>22</v>
      </c>
      <c r="F64" s="7">
        <v>33</v>
      </c>
      <c r="G64" s="7" t="s">
        <v>23</v>
      </c>
      <c r="H64" s="9" t="s">
        <v>16</v>
      </c>
      <c r="I64" s="7" t="s">
        <v>17</v>
      </c>
      <c r="J64" s="7" t="str">
        <f t="shared" si="1"/>
        <v>GRAND LOMÉ</v>
      </c>
      <c r="K64" s="7" t="s">
        <v>232</v>
      </c>
      <c r="L64" s="7" t="s">
        <v>18</v>
      </c>
      <c r="M64" s="21">
        <v>32.427</v>
      </c>
      <c r="N64" s="10" t="s">
        <v>20</v>
      </c>
      <c r="O64" s="11">
        <v>24.7</v>
      </c>
    </row>
    <row r="65" spans="1:15" x14ac:dyDescent="0.2">
      <c r="A65" s="12" t="s">
        <v>119</v>
      </c>
      <c r="B65" s="13">
        <v>45470</v>
      </c>
      <c r="C65" s="9" t="s">
        <v>12</v>
      </c>
      <c r="D65" s="7" t="s">
        <v>13</v>
      </c>
      <c r="E65" s="9" t="s">
        <v>22</v>
      </c>
      <c r="F65" s="7">
        <v>28</v>
      </c>
      <c r="G65" s="7" t="s">
        <v>15</v>
      </c>
      <c r="H65" s="9" t="s">
        <v>16</v>
      </c>
      <c r="I65" s="7" t="s">
        <v>17</v>
      </c>
      <c r="J65" s="7" t="str">
        <f t="shared" si="1"/>
        <v>GRAND LOMÉ</v>
      </c>
      <c r="K65" s="7" t="s">
        <v>232</v>
      </c>
      <c r="L65" s="7" t="s">
        <v>18</v>
      </c>
      <c r="M65" s="21">
        <v>28.492000000000001</v>
      </c>
      <c r="N65" s="10" t="s">
        <v>20</v>
      </c>
      <c r="O65" s="11">
        <v>78.900000000000006</v>
      </c>
    </row>
    <row r="66" spans="1:15" x14ac:dyDescent="0.2">
      <c r="A66" s="12" t="s">
        <v>104</v>
      </c>
      <c r="B66" s="13">
        <v>45470</v>
      </c>
      <c r="C66" s="9" t="s">
        <v>12</v>
      </c>
      <c r="D66" s="7" t="s">
        <v>13</v>
      </c>
      <c r="E66" s="9" t="s">
        <v>22</v>
      </c>
      <c r="F66" s="7">
        <v>28</v>
      </c>
      <c r="G66" s="7" t="s">
        <v>15</v>
      </c>
      <c r="H66" s="9" t="s">
        <v>16</v>
      </c>
      <c r="I66" s="7" t="s">
        <v>17</v>
      </c>
      <c r="J66" s="7" t="str">
        <f t="shared" ref="J66:J97" si="2">UPPER(I66)</f>
        <v>GRAND LOMÉ</v>
      </c>
      <c r="K66" s="7" t="s">
        <v>232</v>
      </c>
      <c r="L66" s="7" t="s">
        <v>18</v>
      </c>
      <c r="M66" s="21">
        <v>27.096</v>
      </c>
      <c r="N66" s="10" t="s">
        <v>20</v>
      </c>
      <c r="O66" s="11">
        <v>55.2</v>
      </c>
    </row>
    <row r="67" spans="1:15" x14ac:dyDescent="0.2">
      <c r="A67" s="12" t="s">
        <v>40</v>
      </c>
      <c r="B67" s="13">
        <v>45474</v>
      </c>
      <c r="C67" s="9" t="s">
        <v>12</v>
      </c>
      <c r="D67" s="7" t="s">
        <v>13</v>
      </c>
      <c r="E67" s="9" t="s">
        <v>22</v>
      </c>
      <c r="F67" s="7">
        <v>17</v>
      </c>
      <c r="G67" s="7" t="s">
        <v>23</v>
      </c>
      <c r="H67" s="9" t="s">
        <v>16</v>
      </c>
      <c r="I67" s="7" t="s">
        <v>17</v>
      </c>
      <c r="J67" s="7" t="str">
        <f t="shared" si="2"/>
        <v>GRAND LOMÉ</v>
      </c>
      <c r="K67" s="7" t="s">
        <v>232</v>
      </c>
      <c r="L67" s="7" t="s">
        <v>18</v>
      </c>
      <c r="M67" s="21">
        <v>32.954000000000001</v>
      </c>
      <c r="N67" s="10" t="s">
        <v>20</v>
      </c>
      <c r="O67" s="11">
        <v>0</v>
      </c>
    </row>
    <row r="68" spans="1:15" x14ac:dyDescent="0.2">
      <c r="A68" s="12" t="s">
        <v>58</v>
      </c>
      <c r="B68" s="13">
        <v>45474</v>
      </c>
      <c r="C68" s="9" t="s">
        <v>12</v>
      </c>
      <c r="D68" s="7" t="s">
        <v>13</v>
      </c>
      <c r="E68" s="9" t="s">
        <v>22</v>
      </c>
      <c r="F68" s="7">
        <v>42</v>
      </c>
      <c r="G68" s="7" t="s">
        <v>23</v>
      </c>
      <c r="H68" s="9" t="s">
        <v>16</v>
      </c>
      <c r="I68" s="7" t="s">
        <v>17</v>
      </c>
      <c r="J68" s="7" t="str">
        <f t="shared" si="2"/>
        <v>GRAND LOMÉ</v>
      </c>
      <c r="K68" s="7" t="s">
        <v>232</v>
      </c>
      <c r="L68" s="7" t="s">
        <v>18</v>
      </c>
      <c r="M68" s="22"/>
      <c r="N68" s="16" t="s">
        <v>46</v>
      </c>
      <c r="O68" s="11">
        <v>0</v>
      </c>
    </row>
    <row r="69" spans="1:15" x14ac:dyDescent="0.2">
      <c r="A69" s="12" t="s">
        <v>92</v>
      </c>
      <c r="B69" s="13">
        <v>45474</v>
      </c>
      <c r="C69" s="9" t="s">
        <v>12</v>
      </c>
      <c r="D69" s="7" t="s">
        <v>13</v>
      </c>
      <c r="E69" s="9" t="s">
        <v>22</v>
      </c>
      <c r="F69" s="7">
        <v>17</v>
      </c>
      <c r="G69" s="7" t="s">
        <v>23</v>
      </c>
      <c r="H69" s="9" t="s">
        <v>16</v>
      </c>
      <c r="I69" s="7" t="s">
        <v>17</v>
      </c>
      <c r="J69" s="7" t="str">
        <f t="shared" si="2"/>
        <v>GRAND LOMÉ</v>
      </c>
      <c r="K69" s="7" t="s">
        <v>232</v>
      </c>
      <c r="L69" s="7" t="s">
        <v>18</v>
      </c>
      <c r="M69" s="21">
        <v>35.155999999999999</v>
      </c>
      <c r="N69" s="10" t="s">
        <v>20</v>
      </c>
      <c r="O69" s="11">
        <v>26.5</v>
      </c>
    </row>
    <row r="70" spans="1:15" x14ac:dyDescent="0.2">
      <c r="A70" s="12" t="s">
        <v>59</v>
      </c>
      <c r="B70" s="13">
        <v>45474</v>
      </c>
      <c r="C70" s="9" t="s">
        <v>12</v>
      </c>
      <c r="D70" s="7" t="s">
        <v>13</v>
      </c>
      <c r="E70" s="9" t="s">
        <v>22</v>
      </c>
      <c r="F70" s="7">
        <v>44</v>
      </c>
      <c r="G70" s="7" t="s">
        <v>23</v>
      </c>
      <c r="H70" s="9" t="s">
        <v>16</v>
      </c>
      <c r="I70" s="7" t="s">
        <v>17</v>
      </c>
      <c r="J70" s="7" t="str">
        <f t="shared" si="2"/>
        <v>GRAND LOMÉ</v>
      </c>
      <c r="K70" s="7" t="s">
        <v>232</v>
      </c>
      <c r="L70" s="7" t="s">
        <v>18</v>
      </c>
      <c r="M70" s="22"/>
      <c r="N70" s="16" t="s">
        <v>46</v>
      </c>
      <c r="O70" s="11">
        <v>0</v>
      </c>
    </row>
    <row r="71" spans="1:15" x14ac:dyDescent="0.2">
      <c r="A71" s="12" t="s">
        <v>101</v>
      </c>
      <c r="B71" s="13">
        <v>45474</v>
      </c>
      <c r="C71" s="9" t="s">
        <v>12</v>
      </c>
      <c r="D71" s="7" t="s">
        <v>13</v>
      </c>
      <c r="E71" s="9" t="s">
        <v>22</v>
      </c>
      <c r="F71" s="7">
        <v>27</v>
      </c>
      <c r="G71" s="7" t="s">
        <v>23</v>
      </c>
      <c r="H71" s="9" t="s">
        <v>16</v>
      </c>
      <c r="I71" s="7" t="s">
        <v>17</v>
      </c>
      <c r="J71" s="7" t="str">
        <f t="shared" si="2"/>
        <v>GRAND LOMÉ</v>
      </c>
      <c r="K71" s="7" t="s">
        <v>232</v>
      </c>
      <c r="L71" s="7" t="s">
        <v>18</v>
      </c>
      <c r="M71" s="21">
        <v>26.181999999999999</v>
      </c>
      <c r="N71" s="10" t="s">
        <v>20</v>
      </c>
      <c r="O71" s="11">
        <v>48.6</v>
      </c>
    </row>
    <row r="72" spans="1:15" x14ac:dyDescent="0.2">
      <c r="A72" s="12" t="s">
        <v>89</v>
      </c>
      <c r="B72" s="13">
        <v>45475</v>
      </c>
      <c r="C72" s="9" t="s">
        <v>12</v>
      </c>
      <c r="D72" s="7" t="s">
        <v>13</v>
      </c>
      <c r="E72" s="9" t="s">
        <v>22</v>
      </c>
      <c r="F72" s="7">
        <v>47</v>
      </c>
      <c r="G72" s="7" t="s">
        <v>15</v>
      </c>
      <c r="H72" s="9" t="s">
        <v>16</v>
      </c>
      <c r="I72" s="7" t="s">
        <v>17</v>
      </c>
      <c r="J72" s="7" t="str">
        <f t="shared" si="2"/>
        <v>GRAND LOMÉ</v>
      </c>
      <c r="K72" s="7" t="s">
        <v>232</v>
      </c>
      <c r="L72" s="7" t="s">
        <v>18</v>
      </c>
      <c r="M72" s="21">
        <v>25.844000000000001</v>
      </c>
      <c r="N72" s="10" t="s">
        <v>20</v>
      </c>
      <c r="O72" s="11">
        <v>19.5</v>
      </c>
    </row>
    <row r="73" spans="1:15" x14ac:dyDescent="0.2">
      <c r="A73" s="12" t="s">
        <v>21</v>
      </c>
      <c r="B73" s="13">
        <v>45476</v>
      </c>
      <c r="C73" s="9" t="s">
        <v>12</v>
      </c>
      <c r="D73" s="7" t="s">
        <v>13</v>
      </c>
      <c r="E73" s="9" t="s">
        <v>22</v>
      </c>
      <c r="F73" s="7">
        <v>40</v>
      </c>
      <c r="G73" s="7" t="s">
        <v>23</v>
      </c>
      <c r="H73" s="9" t="s">
        <v>16</v>
      </c>
      <c r="I73" s="7" t="s">
        <v>17</v>
      </c>
      <c r="J73" s="7" t="str">
        <f t="shared" si="2"/>
        <v>GRAND LOMÉ</v>
      </c>
      <c r="K73" s="7" t="s">
        <v>232</v>
      </c>
      <c r="L73" s="7" t="s">
        <v>18</v>
      </c>
      <c r="M73" s="21">
        <v>35.313000000000002</v>
      </c>
      <c r="N73" s="10" t="s">
        <v>20</v>
      </c>
      <c r="O73" s="11">
        <v>0</v>
      </c>
    </row>
    <row r="74" spans="1:15" x14ac:dyDescent="0.2">
      <c r="A74" s="12" t="s">
        <v>60</v>
      </c>
      <c r="B74" s="13">
        <v>45476</v>
      </c>
      <c r="C74" s="9" t="s">
        <v>12</v>
      </c>
      <c r="D74" s="7" t="s">
        <v>13</v>
      </c>
      <c r="E74" s="9" t="s">
        <v>22</v>
      </c>
      <c r="F74" s="7">
        <v>23</v>
      </c>
      <c r="G74" s="7" t="s">
        <v>23</v>
      </c>
      <c r="H74" s="9" t="s">
        <v>16</v>
      </c>
      <c r="I74" s="7" t="s">
        <v>17</v>
      </c>
      <c r="J74" s="7" t="str">
        <f t="shared" si="2"/>
        <v>GRAND LOMÉ</v>
      </c>
      <c r="K74" s="7" t="s">
        <v>232</v>
      </c>
      <c r="L74" s="7" t="s">
        <v>18</v>
      </c>
      <c r="M74" s="22"/>
      <c r="N74" s="16" t="s">
        <v>46</v>
      </c>
      <c r="O74" s="11">
        <v>0</v>
      </c>
    </row>
    <row r="75" spans="1:15" x14ac:dyDescent="0.2">
      <c r="A75" s="12" t="s">
        <v>61</v>
      </c>
      <c r="B75" s="13">
        <v>45476</v>
      </c>
      <c r="C75" s="9" t="s">
        <v>12</v>
      </c>
      <c r="D75" s="7" t="s">
        <v>13</v>
      </c>
      <c r="E75" s="9" t="s">
        <v>22</v>
      </c>
      <c r="F75" s="7">
        <v>32</v>
      </c>
      <c r="G75" s="7" t="s">
        <v>23</v>
      </c>
      <c r="H75" s="9" t="s">
        <v>16</v>
      </c>
      <c r="I75" s="7" t="s">
        <v>17</v>
      </c>
      <c r="J75" s="7" t="str">
        <f t="shared" si="2"/>
        <v>GRAND LOMÉ</v>
      </c>
      <c r="K75" s="7" t="s">
        <v>232</v>
      </c>
      <c r="L75" s="7" t="s">
        <v>18</v>
      </c>
      <c r="M75" s="22"/>
      <c r="N75" s="16" t="s">
        <v>46</v>
      </c>
      <c r="O75" s="11">
        <v>0</v>
      </c>
    </row>
    <row r="76" spans="1:15" x14ac:dyDescent="0.2">
      <c r="A76" s="12" t="s">
        <v>87</v>
      </c>
      <c r="B76" s="13">
        <v>45476</v>
      </c>
      <c r="C76" s="9" t="s">
        <v>12</v>
      </c>
      <c r="D76" s="7" t="s">
        <v>13</v>
      </c>
      <c r="E76" s="9" t="s">
        <v>22</v>
      </c>
      <c r="F76" s="7">
        <v>28</v>
      </c>
      <c r="G76" s="7" t="s">
        <v>23</v>
      </c>
      <c r="H76" s="9" t="s">
        <v>16</v>
      </c>
      <c r="I76" s="7" t="s">
        <v>17</v>
      </c>
      <c r="J76" s="7" t="str">
        <f t="shared" si="2"/>
        <v>GRAND LOMÉ</v>
      </c>
      <c r="K76" s="7" t="s">
        <v>232</v>
      </c>
      <c r="L76" s="7" t="s">
        <v>18</v>
      </c>
      <c r="M76" s="21">
        <v>30.193000000000001</v>
      </c>
      <c r="N76" s="10" t="s">
        <v>20</v>
      </c>
      <c r="O76" s="11">
        <v>16.3</v>
      </c>
    </row>
    <row r="77" spans="1:15" x14ac:dyDescent="0.2">
      <c r="A77" s="12" t="s">
        <v>84</v>
      </c>
      <c r="B77" s="13">
        <v>45477</v>
      </c>
      <c r="C77" s="9" t="s">
        <v>12</v>
      </c>
      <c r="D77" s="7" t="s">
        <v>13</v>
      </c>
      <c r="E77" s="9" t="s">
        <v>22</v>
      </c>
      <c r="F77" s="7">
        <v>55</v>
      </c>
      <c r="G77" s="7" t="s">
        <v>15</v>
      </c>
      <c r="H77" s="9" t="s">
        <v>16</v>
      </c>
      <c r="I77" s="7" t="s">
        <v>17</v>
      </c>
      <c r="J77" s="7" t="str">
        <f t="shared" si="2"/>
        <v>GRAND LOMÉ</v>
      </c>
      <c r="K77" s="7" t="s">
        <v>232</v>
      </c>
      <c r="L77" s="7" t="s">
        <v>18</v>
      </c>
      <c r="M77" s="23">
        <v>33.826000000000001</v>
      </c>
      <c r="N77" s="10" t="s">
        <v>20</v>
      </c>
      <c r="O77" s="11">
        <v>13.4</v>
      </c>
    </row>
    <row r="78" spans="1:15" x14ac:dyDescent="0.2">
      <c r="A78" s="12" t="s">
        <v>62</v>
      </c>
      <c r="B78" s="13">
        <v>45477</v>
      </c>
      <c r="C78" s="9" t="s">
        <v>12</v>
      </c>
      <c r="D78" s="7" t="s">
        <v>13</v>
      </c>
      <c r="E78" s="9" t="s">
        <v>22</v>
      </c>
      <c r="F78" s="7">
        <v>27</v>
      </c>
      <c r="G78" s="7" t="s">
        <v>15</v>
      </c>
      <c r="H78" s="9" t="s">
        <v>16</v>
      </c>
      <c r="I78" s="7" t="s">
        <v>17</v>
      </c>
      <c r="J78" s="7" t="str">
        <f t="shared" si="2"/>
        <v>GRAND LOMÉ</v>
      </c>
      <c r="K78" s="7" t="s">
        <v>232</v>
      </c>
      <c r="L78" s="7" t="s">
        <v>18</v>
      </c>
      <c r="M78" s="22"/>
      <c r="N78" s="16" t="s">
        <v>46</v>
      </c>
      <c r="O78" s="11">
        <v>0</v>
      </c>
    </row>
    <row r="79" spans="1:15" x14ac:dyDescent="0.2">
      <c r="A79" s="12" t="s">
        <v>178</v>
      </c>
      <c r="B79" s="13">
        <v>45477</v>
      </c>
      <c r="C79" s="9" t="s">
        <v>12</v>
      </c>
      <c r="D79" s="7" t="s">
        <v>13</v>
      </c>
      <c r="E79" s="9" t="s">
        <v>22</v>
      </c>
      <c r="F79" s="7">
        <v>9</v>
      </c>
      <c r="G79" s="7" t="s">
        <v>23</v>
      </c>
      <c r="H79" s="9" t="s">
        <v>16</v>
      </c>
      <c r="I79" s="7" t="s">
        <v>17</v>
      </c>
      <c r="J79" s="7" t="str">
        <f t="shared" si="2"/>
        <v>GRAND LOMÉ</v>
      </c>
      <c r="K79" s="7" t="s">
        <v>232</v>
      </c>
      <c r="L79" s="7" t="s">
        <v>18</v>
      </c>
      <c r="M79" s="21">
        <v>23.69</v>
      </c>
      <c r="N79" s="10" t="s">
        <v>20</v>
      </c>
      <c r="O79" s="11">
        <v>98.7</v>
      </c>
    </row>
    <row r="80" spans="1:15" x14ac:dyDescent="0.2">
      <c r="A80" s="12" t="s">
        <v>135</v>
      </c>
      <c r="B80" s="15">
        <v>45493</v>
      </c>
      <c r="C80" s="9" t="s">
        <v>12</v>
      </c>
      <c r="D80" s="7" t="s">
        <v>13</v>
      </c>
      <c r="E80" s="9" t="s">
        <v>22</v>
      </c>
      <c r="F80" s="7">
        <v>6</v>
      </c>
      <c r="G80" s="7" t="s">
        <v>15</v>
      </c>
      <c r="H80" s="9" t="s">
        <v>16</v>
      </c>
      <c r="I80" s="7" t="s">
        <v>17</v>
      </c>
      <c r="J80" s="7" t="str">
        <f t="shared" si="2"/>
        <v>GRAND LOMÉ</v>
      </c>
      <c r="K80" s="7" t="s">
        <v>232</v>
      </c>
      <c r="L80" s="7" t="s">
        <v>26</v>
      </c>
      <c r="M80" s="21">
        <v>26.318000000000001</v>
      </c>
      <c r="N80" s="10" t="s">
        <v>20</v>
      </c>
      <c r="O80" s="11">
        <v>90.7</v>
      </c>
    </row>
    <row r="81" spans="1:15" x14ac:dyDescent="0.2">
      <c r="A81" s="12" t="s">
        <v>81</v>
      </c>
      <c r="B81" s="15">
        <v>45492</v>
      </c>
      <c r="C81" s="9" t="s">
        <v>12</v>
      </c>
      <c r="D81" s="7" t="s">
        <v>13</v>
      </c>
      <c r="E81" s="9" t="s">
        <v>22</v>
      </c>
      <c r="F81" s="7">
        <v>30</v>
      </c>
      <c r="G81" s="7" t="s">
        <v>23</v>
      </c>
      <c r="H81" s="9" t="s">
        <v>16</v>
      </c>
      <c r="I81" s="7" t="s">
        <v>17</v>
      </c>
      <c r="J81" s="7" t="str">
        <f t="shared" si="2"/>
        <v>GRAND LOMÉ</v>
      </c>
      <c r="K81" s="7" t="s">
        <v>232</v>
      </c>
      <c r="L81" s="7" t="s">
        <v>26</v>
      </c>
      <c r="M81" s="21">
        <v>35.853999999999999</v>
      </c>
      <c r="N81" s="10" t="s">
        <v>20</v>
      </c>
      <c r="O81" s="11">
        <v>6.4</v>
      </c>
    </row>
    <row r="82" spans="1:15" x14ac:dyDescent="0.2">
      <c r="A82" s="12" t="s">
        <v>63</v>
      </c>
      <c r="B82" s="15">
        <v>45494</v>
      </c>
      <c r="C82" s="9" t="s">
        <v>12</v>
      </c>
      <c r="D82" s="7" t="s">
        <v>13</v>
      </c>
      <c r="E82" s="9" t="s">
        <v>22</v>
      </c>
      <c r="F82" s="7">
        <v>27</v>
      </c>
      <c r="G82" s="7" t="s">
        <v>15</v>
      </c>
      <c r="H82" s="9" t="s">
        <v>16</v>
      </c>
      <c r="I82" s="7" t="s">
        <v>17</v>
      </c>
      <c r="J82" s="7" t="str">
        <f t="shared" si="2"/>
        <v>GRAND LOMÉ</v>
      </c>
      <c r="K82" s="7" t="s">
        <v>232</v>
      </c>
      <c r="L82" s="7" t="s">
        <v>26</v>
      </c>
      <c r="M82" s="22"/>
      <c r="N82" s="16" t="s">
        <v>46</v>
      </c>
      <c r="O82" s="11">
        <v>0</v>
      </c>
    </row>
    <row r="83" spans="1:15" x14ac:dyDescent="0.2">
      <c r="A83" s="12" t="s">
        <v>114</v>
      </c>
      <c r="B83" s="15">
        <v>45493</v>
      </c>
      <c r="C83" s="9" t="s">
        <v>12</v>
      </c>
      <c r="D83" s="7" t="s">
        <v>13</v>
      </c>
      <c r="E83" s="9" t="s">
        <v>22</v>
      </c>
      <c r="F83" s="7">
        <v>24</v>
      </c>
      <c r="G83" s="7" t="s">
        <v>23</v>
      </c>
      <c r="H83" s="9" t="s">
        <v>16</v>
      </c>
      <c r="I83" s="7" t="s">
        <v>17</v>
      </c>
      <c r="J83" s="7" t="str">
        <f t="shared" si="2"/>
        <v>GRAND LOMÉ</v>
      </c>
      <c r="K83" s="7" t="s">
        <v>232</v>
      </c>
      <c r="L83" s="7" t="s">
        <v>26</v>
      </c>
      <c r="M83" s="21">
        <v>31.951000000000001</v>
      </c>
      <c r="N83" s="10" t="s">
        <v>20</v>
      </c>
      <c r="O83" s="11">
        <v>64.099999999999994</v>
      </c>
    </row>
    <row r="84" spans="1:15" x14ac:dyDescent="0.2">
      <c r="A84" s="12" t="s">
        <v>110</v>
      </c>
      <c r="B84" s="15">
        <v>45495</v>
      </c>
      <c r="C84" s="9" t="s">
        <v>12</v>
      </c>
      <c r="D84" s="7" t="s">
        <v>13</v>
      </c>
      <c r="E84" s="9" t="s">
        <v>22</v>
      </c>
      <c r="F84" s="7">
        <v>13</v>
      </c>
      <c r="G84" s="7" t="s">
        <v>23</v>
      </c>
      <c r="H84" s="9" t="s">
        <v>16</v>
      </c>
      <c r="I84" s="7" t="s">
        <v>17</v>
      </c>
      <c r="J84" s="7" t="str">
        <f t="shared" si="2"/>
        <v>GRAND LOMÉ</v>
      </c>
      <c r="K84" s="7" t="s">
        <v>232</v>
      </c>
      <c r="L84" s="7" t="s">
        <v>26</v>
      </c>
      <c r="M84" s="21">
        <v>35.043999999999997</v>
      </c>
      <c r="N84" s="10" t="s">
        <v>20</v>
      </c>
      <c r="O84" s="11">
        <v>58.8</v>
      </c>
    </row>
    <row r="85" spans="1:15" x14ac:dyDescent="0.2">
      <c r="A85" s="12" t="s">
        <v>38</v>
      </c>
      <c r="B85" s="15">
        <v>45490</v>
      </c>
      <c r="C85" s="9" t="s">
        <v>12</v>
      </c>
      <c r="D85" s="7" t="s">
        <v>13</v>
      </c>
      <c r="E85" s="9" t="s">
        <v>22</v>
      </c>
      <c r="F85" s="7">
        <v>3</v>
      </c>
      <c r="G85" s="7" t="s">
        <v>23</v>
      </c>
      <c r="H85" s="9" t="s">
        <v>16</v>
      </c>
      <c r="I85" s="7" t="s">
        <v>17</v>
      </c>
      <c r="J85" s="7" t="str">
        <f t="shared" si="2"/>
        <v>GRAND LOMÉ</v>
      </c>
      <c r="K85" s="7" t="s">
        <v>232</v>
      </c>
      <c r="L85" s="7" t="s">
        <v>26</v>
      </c>
      <c r="M85" s="21">
        <v>31.707999999999998</v>
      </c>
      <c r="N85" s="10" t="s">
        <v>20</v>
      </c>
      <c r="O85" s="11">
        <v>0</v>
      </c>
    </row>
    <row r="86" spans="1:15" x14ac:dyDescent="0.2">
      <c r="A86" s="12" t="s">
        <v>41</v>
      </c>
      <c r="B86" s="15">
        <v>45490</v>
      </c>
      <c r="C86" s="9" t="s">
        <v>12</v>
      </c>
      <c r="D86" s="7" t="s">
        <v>13</v>
      </c>
      <c r="E86" s="9" t="s">
        <v>22</v>
      </c>
      <c r="F86" s="7">
        <v>10</v>
      </c>
      <c r="G86" s="7" t="s">
        <v>15</v>
      </c>
      <c r="H86" s="9" t="s">
        <v>16</v>
      </c>
      <c r="I86" s="7" t="s">
        <v>17</v>
      </c>
      <c r="J86" s="7" t="str">
        <f t="shared" si="2"/>
        <v>GRAND LOMÉ</v>
      </c>
      <c r="K86" s="7" t="s">
        <v>232</v>
      </c>
      <c r="L86" s="7" t="s">
        <v>26</v>
      </c>
      <c r="M86" s="21">
        <v>34.991999999999997</v>
      </c>
      <c r="N86" s="10" t="s">
        <v>20</v>
      </c>
      <c r="O86" s="11">
        <v>0</v>
      </c>
    </row>
    <row r="87" spans="1:15" x14ac:dyDescent="0.2">
      <c r="A87" s="12" t="s">
        <v>144</v>
      </c>
      <c r="B87" s="15">
        <v>45490</v>
      </c>
      <c r="C87" s="9" t="s">
        <v>12</v>
      </c>
      <c r="D87" s="7" t="s">
        <v>13</v>
      </c>
      <c r="E87" s="9" t="s">
        <v>22</v>
      </c>
      <c r="F87" s="7">
        <v>21</v>
      </c>
      <c r="G87" s="7" t="s">
        <v>23</v>
      </c>
      <c r="H87" s="9" t="s">
        <v>16</v>
      </c>
      <c r="I87" s="7" t="s">
        <v>17</v>
      </c>
      <c r="J87" s="7" t="str">
        <f t="shared" si="2"/>
        <v>GRAND LOMÉ</v>
      </c>
      <c r="K87" s="7" t="s">
        <v>232</v>
      </c>
      <c r="L87" s="7" t="s">
        <v>26</v>
      </c>
      <c r="M87" s="21">
        <v>20.472999999999999</v>
      </c>
      <c r="N87" s="10" t="s">
        <v>20</v>
      </c>
      <c r="O87" s="11">
        <v>93.5</v>
      </c>
    </row>
    <row r="88" spans="1:15" x14ac:dyDescent="0.2">
      <c r="A88" s="12" t="s">
        <v>64</v>
      </c>
      <c r="B88" s="15">
        <v>45490</v>
      </c>
      <c r="C88" s="9" t="s">
        <v>12</v>
      </c>
      <c r="D88" s="7" t="s">
        <v>13</v>
      </c>
      <c r="E88" s="9" t="s">
        <v>22</v>
      </c>
      <c r="F88" s="7">
        <v>22</v>
      </c>
      <c r="G88" s="7" t="s">
        <v>23</v>
      </c>
      <c r="H88" s="9" t="s">
        <v>16</v>
      </c>
      <c r="I88" s="7" t="s">
        <v>17</v>
      </c>
      <c r="J88" s="7" t="str">
        <f t="shared" si="2"/>
        <v>GRAND LOMÉ</v>
      </c>
      <c r="K88" s="7" t="s">
        <v>232</v>
      </c>
      <c r="L88" s="7" t="s">
        <v>26</v>
      </c>
      <c r="M88" s="22"/>
      <c r="N88" s="16" t="s">
        <v>46</v>
      </c>
      <c r="O88" s="11">
        <v>0</v>
      </c>
    </row>
    <row r="89" spans="1:15" x14ac:dyDescent="0.2">
      <c r="A89" s="12" t="s">
        <v>65</v>
      </c>
      <c r="B89" s="15">
        <v>45485</v>
      </c>
      <c r="C89" s="9" t="s">
        <v>12</v>
      </c>
      <c r="D89" s="7" t="s">
        <v>13</v>
      </c>
      <c r="E89" s="9" t="s">
        <v>22</v>
      </c>
      <c r="F89" s="7">
        <v>34</v>
      </c>
      <c r="G89" s="7" t="s">
        <v>15</v>
      </c>
      <c r="H89" s="9" t="s">
        <v>16</v>
      </c>
      <c r="I89" s="7" t="s">
        <v>17</v>
      </c>
      <c r="J89" s="7" t="str">
        <f t="shared" si="2"/>
        <v>GRAND LOMÉ</v>
      </c>
      <c r="K89" s="7" t="s">
        <v>232</v>
      </c>
      <c r="L89" s="7" t="s">
        <v>26</v>
      </c>
      <c r="M89" s="22"/>
      <c r="N89" s="16" t="s">
        <v>46</v>
      </c>
      <c r="O89" s="11">
        <v>0</v>
      </c>
    </row>
    <row r="90" spans="1:15" x14ac:dyDescent="0.2">
      <c r="A90" s="12" t="s">
        <v>80</v>
      </c>
      <c r="B90" s="15">
        <v>45485</v>
      </c>
      <c r="C90" s="9" t="s">
        <v>12</v>
      </c>
      <c r="D90" s="7" t="s">
        <v>13</v>
      </c>
      <c r="E90" s="9" t="s">
        <v>22</v>
      </c>
      <c r="F90" s="7">
        <v>21</v>
      </c>
      <c r="G90" s="7" t="s">
        <v>15</v>
      </c>
      <c r="H90" s="9" t="s">
        <v>16</v>
      </c>
      <c r="I90" s="7" t="s">
        <v>17</v>
      </c>
      <c r="J90" s="7" t="str">
        <f t="shared" si="2"/>
        <v>GRAND LOMÉ</v>
      </c>
      <c r="K90" s="7" t="s">
        <v>232</v>
      </c>
      <c r="L90" s="7" t="s">
        <v>26</v>
      </c>
      <c r="M90" s="21">
        <v>34.228000000000002</v>
      </c>
      <c r="N90" s="10" t="s">
        <v>20</v>
      </c>
      <c r="O90" s="11">
        <v>5.7</v>
      </c>
    </row>
    <row r="91" spans="1:15" x14ac:dyDescent="0.2">
      <c r="A91" s="12" t="s">
        <v>25</v>
      </c>
      <c r="B91" s="15">
        <v>45490</v>
      </c>
      <c r="C91" s="9" t="s">
        <v>12</v>
      </c>
      <c r="D91" s="7" t="s">
        <v>13</v>
      </c>
      <c r="E91" s="9" t="s">
        <v>22</v>
      </c>
      <c r="F91" s="7">
        <v>64</v>
      </c>
      <c r="G91" s="7" t="s">
        <v>23</v>
      </c>
      <c r="H91" s="9" t="s">
        <v>16</v>
      </c>
      <c r="I91" s="7" t="s">
        <v>17</v>
      </c>
      <c r="J91" s="7" t="str">
        <f t="shared" si="2"/>
        <v>GRAND LOMÉ</v>
      </c>
      <c r="K91" s="7" t="s">
        <v>232</v>
      </c>
      <c r="L91" s="7" t="s">
        <v>26</v>
      </c>
      <c r="M91" s="21">
        <v>20.617000000000001</v>
      </c>
      <c r="N91" s="10" t="s">
        <v>20</v>
      </c>
      <c r="O91" s="11">
        <v>0</v>
      </c>
    </row>
    <row r="92" spans="1:15" x14ac:dyDescent="0.2">
      <c r="A92" s="12" t="s">
        <v>126</v>
      </c>
      <c r="B92" s="15">
        <v>45494</v>
      </c>
      <c r="C92" s="9" t="s">
        <v>12</v>
      </c>
      <c r="D92" s="7" t="s">
        <v>13</v>
      </c>
      <c r="E92" s="9" t="s">
        <v>22</v>
      </c>
      <c r="F92" s="7">
        <v>23</v>
      </c>
      <c r="G92" s="7" t="s">
        <v>23</v>
      </c>
      <c r="H92" s="9" t="s">
        <v>16</v>
      </c>
      <c r="I92" s="7" t="s">
        <v>17</v>
      </c>
      <c r="J92" s="7" t="str">
        <f t="shared" si="2"/>
        <v>GRAND LOMÉ</v>
      </c>
      <c r="K92" s="7" t="s">
        <v>232</v>
      </c>
      <c r="L92" s="7" t="s">
        <v>26</v>
      </c>
      <c r="M92" s="21">
        <v>23.7</v>
      </c>
      <c r="N92" s="10" t="s">
        <v>20</v>
      </c>
      <c r="O92" s="11">
        <v>84.6</v>
      </c>
    </row>
    <row r="93" spans="1:15" x14ac:dyDescent="0.2">
      <c r="A93" s="12" t="s">
        <v>66</v>
      </c>
      <c r="B93" s="15">
        <v>45495</v>
      </c>
      <c r="C93" s="9" t="s">
        <v>12</v>
      </c>
      <c r="D93" s="7" t="s">
        <v>13</v>
      </c>
      <c r="E93" s="9" t="s">
        <v>22</v>
      </c>
      <c r="F93" s="7">
        <v>41</v>
      </c>
      <c r="G93" s="7" t="s">
        <v>15</v>
      </c>
      <c r="H93" s="9" t="s">
        <v>16</v>
      </c>
      <c r="I93" s="7" t="s">
        <v>32</v>
      </c>
      <c r="J93" s="7" t="str">
        <f t="shared" si="2"/>
        <v>KARA</v>
      </c>
      <c r="K93" s="7" t="s">
        <v>229</v>
      </c>
      <c r="L93" s="7" t="s">
        <v>33</v>
      </c>
      <c r="M93" s="22"/>
      <c r="N93" s="16" t="s">
        <v>46</v>
      </c>
      <c r="O93" s="11">
        <v>0</v>
      </c>
    </row>
    <row r="94" spans="1:15" x14ac:dyDescent="0.2">
      <c r="A94" s="12" t="s">
        <v>168</v>
      </c>
      <c r="B94" s="15">
        <v>45495</v>
      </c>
      <c r="C94" s="9" t="s">
        <v>12</v>
      </c>
      <c r="D94" s="7" t="s">
        <v>13</v>
      </c>
      <c r="E94" s="9" t="s">
        <v>22</v>
      </c>
      <c r="F94" s="7">
        <v>22</v>
      </c>
      <c r="G94" s="7" t="s">
        <v>23</v>
      </c>
      <c r="H94" s="9" t="s">
        <v>16</v>
      </c>
      <c r="I94" s="7" t="s">
        <v>32</v>
      </c>
      <c r="J94" s="7" t="str">
        <f t="shared" si="2"/>
        <v>KARA</v>
      </c>
      <c r="K94" s="7" t="s">
        <v>229</v>
      </c>
      <c r="L94" s="7" t="s">
        <v>33</v>
      </c>
      <c r="M94" s="21">
        <v>24.439</v>
      </c>
      <c r="N94" s="10" t="s">
        <v>20</v>
      </c>
      <c r="O94" s="11">
        <v>97</v>
      </c>
    </row>
    <row r="95" spans="1:15" x14ac:dyDescent="0.2">
      <c r="A95" s="12" t="s">
        <v>67</v>
      </c>
      <c r="B95" s="15">
        <v>45491</v>
      </c>
      <c r="C95" s="9" t="s">
        <v>12</v>
      </c>
      <c r="D95" s="7" t="s">
        <v>13</v>
      </c>
      <c r="E95" s="9" t="s">
        <v>22</v>
      </c>
      <c r="F95" s="7">
        <v>29</v>
      </c>
      <c r="G95" s="7" t="s">
        <v>23</v>
      </c>
      <c r="H95" s="9" t="s">
        <v>16</v>
      </c>
      <c r="I95" s="7" t="s">
        <v>32</v>
      </c>
      <c r="J95" s="7" t="str">
        <f t="shared" si="2"/>
        <v>KARA</v>
      </c>
      <c r="K95" s="7" t="s">
        <v>229</v>
      </c>
      <c r="L95" s="7" t="s">
        <v>68</v>
      </c>
      <c r="M95" s="22"/>
      <c r="N95" s="16" t="s">
        <v>46</v>
      </c>
      <c r="O95" s="11">
        <v>0</v>
      </c>
    </row>
    <row r="96" spans="1:15" x14ac:dyDescent="0.2">
      <c r="A96" s="12" t="s">
        <v>116</v>
      </c>
      <c r="B96" s="15">
        <v>45490</v>
      </c>
      <c r="C96" s="9" t="s">
        <v>12</v>
      </c>
      <c r="D96" s="7" t="s">
        <v>13</v>
      </c>
      <c r="E96" s="9" t="s">
        <v>22</v>
      </c>
      <c r="F96" s="7">
        <v>5</v>
      </c>
      <c r="G96" s="7" t="s">
        <v>15</v>
      </c>
      <c r="H96" s="9" t="s">
        <v>16</v>
      </c>
      <c r="I96" s="7" t="s">
        <v>17</v>
      </c>
      <c r="J96" s="7" t="str">
        <f t="shared" si="2"/>
        <v>GRAND LOMÉ</v>
      </c>
      <c r="K96" s="7" t="s">
        <v>232</v>
      </c>
      <c r="L96" s="7" t="s">
        <v>18</v>
      </c>
      <c r="M96" s="21">
        <v>30.577999999999999</v>
      </c>
      <c r="N96" s="10" t="s">
        <v>20</v>
      </c>
      <c r="O96" s="11">
        <v>74.3</v>
      </c>
    </row>
    <row r="97" spans="1:15" x14ac:dyDescent="0.2">
      <c r="A97" s="12" t="s">
        <v>150</v>
      </c>
      <c r="B97" s="15">
        <v>45500</v>
      </c>
      <c r="C97" s="9" t="s">
        <v>12</v>
      </c>
      <c r="D97" s="7" t="s">
        <v>13</v>
      </c>
      <c r="E97" s="9" t="s">
        <v>22</v>
      </c>
      <c r="F97" s="7">
        <v>25</v>
      </c>
      <c r="G97" s="7" t="s">
        <v>23</v>
      </c>
      <c r="H97" s="9" t="s">
        <v>16</v>
      </c>
      <c r="I97" s="7" t="s">
        <v>70</v>
      </c>
      <c r="J97" s="7" t="str">
        <f t="shared" si="2"/>
        <v>PLATEAUX</v>
      </c>
      <c r="K97" s="7" t="s">
        <v>230</v>
      </c>
      <c r="L97" s="7" t="s">
        <v>151</v>
      </c>
      <c r="M97" s="21">
        <v>29.016999999999999</v>
      </c>
      <c r="N97" s="10" t="s">
        <v>20</v>
      </c>
      <c r="O97" s="11">
        <v>94.2</v>
      </c>
    </row>
    <row r="98" spans="1:15" x14ac:dyDescent="0.2">
      <c r="A98" s="12" t="s">
        <v>69</v>
      </c>
      <c r="B98" s="15">
        <v>45499</v>
      </c>
      <c r="C98" s="9" t="s">
        <v>12</v>
      </c>
      <c r="D98" s="7" t="s">
        <v>13</v>
      </c>
      <c r="E98" s="9" t="s">
        <v>22</v>
      </c>
      <c r="F98" s="7">
        <v>48</v>
      </c>
      <c r="G98" s="7" t="s">
        <v>23</v>
      </c>
      <c r="H98" s="9" t="s">
        <v>16</v>
      </c>
      <c r="I98" s="7" t="s">
        <v>70</v>
      </c>
      <c r="J98" s="7" t="str">
        <f t="shared" ref="J98:J129" si="3">UPPER(I98)</f>
        <v>PLATEAUX</v>
      </c>
      <c r="K98" s="7" t="s">
        <v>230</v>
      </c>
      <c r="L98" s="7" t="s">
        <v>71</v>
      </c>
      <c r="M98" s="22"/>
      <c r="N98" s="16" t="s">
        <v>46</v>
      </c>
      <c r="O98" s="11">
        <v>0</v>
      </c>
    </row>
    <row r="99" spans="1:15" x14ac:dyDescent="0.2">
      <c r="A99" s="12" t="s">
        <v>155</v>
      </c>
      <c r="B99" s="15">
        <v>45499</v>
      </c>
      <c r="C99" s="9" t="s">
        <v>12</v>
      </c>
      <c r="D99" s="7" t="s">
        <v>13</v>
      </c>
      <c r="E99" s="9" t="s">
        <v>22</v>
      </c>
      <c r="F99" s="7">
        <v>26</v>
      </c>
      <c r="G99" s="7" t="s">
        <v>15</v>
      </c>
      <c r="H99" s="9" t="s">
        <v>16</v>
      </c>
      <c r="I99" s="7" t="s">
        <v>32</v>
      </c>
      <c r="J99" s="7" t="str">
        <f t="shared" si="3"/>
        <v>KARA</v>
      </c>
      <c r="K99" s="7" t="s">
        <v>229</v>
      </c>
      <c r="L99" s="7" t="s">
        <v>68</v>
      </c>
      <c r="M99" s="21">
        <v>20.866</v>
      </c>
      <c r="N99" s="10" t="s">
        <v>20</v>
      </c>
      <c r="O99" s="11">
        <v>94.9</v>
      </c>
    </row>
    <row r="100" spans="1:15" x14ac:dyDescent="0.2">
      <c r="A100" s="12" t="s">
        <v>176</v>
      </c>
      <c r="B100" s="15">
        <v>45498</v>
      </c>
      <c r="C100" s="9" t="s">
        <v>12</v>
      </c>
      <c r="D100" s="7" t="s">
        <v>13</v>
      </c>
      <c r="E100" s="9" t="s">
        <v>22</v>
      </c>
      <c r="F100" s="7">
        <v>38</v>
      </c>
      <c r="G100" s="7" t="s">
        <v>15</v>
      </c>
      <c r="H100" s="9" t="s">
        <v>16</v>
      </c>
      <c r="I100" s="7" t="s">
        <v>70</v>
      </c>
      <c r="J100" s="7" t="str">
        <f t="shared" si="3"/>
        <v>PLATEAUX</v>
      </c>
      <c r="K100" s="7" t="s">
        <v>230</v>
      </c>
      <c r="L100" s="7" t="s">
        <v>151</v>
      </c>
      <c r="M100" s="21">
        <v>19.875</v>
      </c>
      <c r="N100" s="10" t="s">
        <v>20</v>
      </c>
      <c r="O100" s="11">
        <v>98.6</v>
      </c>
    </row>
    <row r="101" spans="1:15" x14ac:dyDescent="0.2">
      <c r="A101" s="12" t="s">
        <v>109</v>
      </c>
      <c r="B101" s="15">
        <v>45497</v>
      </c>
      <c r="C101" s="9" t="s">
        <v>12</v>
      </c>
      <c r="D101" s="7" t="s">
        <v>13</v>
      </c>
      <c r="E101" s="9" t="s">
        <v>22</v>
      </c>
      <c r="F101" s="7">
        <v>20</v>
      </c>
      <c r="G101" s="7" t="s">
        <v>15</v>
      </c>
      <c r="H101" s="9" t="s">
        <v>16</v>
      </c>
      <c r="I101" s="7" t="s">
        <v>17</v>
      </c>
      <c r="J101" s="7" t="str">
        <f t="shared" si="3"/>
        <v>GRAND LOMÉ</v>
      </c>
      <c r="K101" s="7" t="s">
        <v>232</v>
      </c>
      <c r="L101" s="7" t="s">
        <v>18</v>
      </c>
      <c r="M101" s="21">
        <v>31.478000000000002</v>
      </c>
      <c r="N101" s="10" t="s">
        <v>20</v>
      </c>
      <c r="O101" s="11">
        <v>58.3</v>
      </c>
    </row>
    <row r="102" spans="1:15" x14ac:dyDescent="0.2">
      <c r="A102" s="12" t="s">
        <v>39</v>
      </c>
      <c r="B102" s="15">
        <v>45485</v>
      </c>
      <c r="C102" s="9" t="s">
        <v>12</v>
      </c>
      <c r="D102" s="7" t="s">
        <v>13</v>
      </c>
      <c r="E102" s="9" t="s">
        <v>22</v>
      </c>
      <c r="F102" s="7">
        <v>21</v>
      </c>
      <c r="G102" s="7" t="s">
        <v>23</v>
      </c>
      <c r="H102" s="9" t="s">
        <v>16</v>
      </c>
      <c r="I102" s="7" t="s">
        <v>17</v>
      </c>
      <c r="J102" s="7" t="str">
        <f t="shared" si="3"/>
        <v>GRAND LOMÉ</v>
      </c>
      <c r="K102" s="7" t="s">
        <v>232</v>
      </c>
      <c r="L102" s="7" t="s">
        <v>18</v>
      </c>
      <c r="M102" s="21">
        <v>32.692999999999998</v>
      </c>
      <c r="N102" s="10" t="s">
        <v>20</v>
      </c>
      <c r="O102" s="11">
        <v>0</v>
      </c>
    </row>
    <row r="103" spans="1:15" x14ac:dyDescent="0.2">
      <c r="A103" s="12" t="s">
        <v>72</v>
      </c>
      <c r="B103" s="15">
        <v>45504</v>
      </c>
      <c r="C103" s="9" t="s">
        <v>12</v>
      </c>
      <c r="D103" s="7" t="s">
        <v>13</v>
      </c>
      <c r="E103" s="9" t="s">
        <v>22</v>
      </c>
      <c r="F103" s="7">
        <v>32</v>
      </c>
      <c r="G103" s="7" t="s">
        <v>15</v>
      </c>
      <c r="H103" s="9" t="s">
        <v>16</v>
      </c>
      <c r="I103" s="7" t="s">
        <v>17</v>
      </c>
      <c r="J103" s="7" t="str">
        <f t="shared" si="3"/>
        <v>GRAND LOMÉ</v>
      </c>
      <c r="K103" s="7" t="s">
        <v>232</v>
      </c>
      <c r="L103" s="7" t="s">
        <v>26</v>
      </c>
      <c r="M103" s="22"/>
      <c r="N103" s="16" t="s">
        <v>46</v>
      </c>
      <c r="O103" s="11">
        <v>0</v>
      </c>
    </row>
    <row r="104" spans="1:15" x14ac:dyDescent="0.2">
      <c r="A104" s="12" t="s">
        <v>123</v>
      </c>
      <c r="B104" s="15">
        <v>45505</v>
      </c>
      <c r="C104" s="9" t="s">
        <v>12</v>
      </c>
      <c r="D104" s="7" t="s">
        <v>13</v>
      </c>
      <c r="E104" s="9" t="s">
        <v>22</v>
      </c>
      <c r="F104" s="7">
        <v>49</v>
      </c>
      <c r="G104" s="7" t="s">
        <v>15</v>
      </c>
      <c r="H104" s="9" t="s">
        <v>16</v>
      </c>
      <c r="I104" s="7" t="s">
        <v>17</v>
      </c>
      <c r="J104" s="7" t="str">
        <f t="shared" si="3"/>
        <v>GRAND LOMÉ</v>
      </c>
      <c r="K104" s="7" t="s">
        <v>232</v>
      </c>
      <c r="L104" s="7" t="s">
        <v>18</v>
      </c>
      <c r="M104" s="21">
        <v>29.015999999999998</v>
      </c>
      <c r="N104" s="10" t="s">
        <v>20</v>
      </c>
      <c r="O104" s="11">
        <v>81.7</v>
      </c>
    </row>
    <row r="105" spans="1:15" x14ac:dyDescent="0.2">
      <c r="A105" s="12" t="s">
        <v>44</v>
      </c>
      <c r="B105" s="15">
        <v>45491</v>
      </c>
      <c r="C105" s="9" t="s">
        <v>12</v>
      </c>
      <c r="D105" s="7" t="s">
        <v>13</v>
      </c>
      <c r="E105" s="9" t="s">
        <v>22</v>
      </c>
      <c r="F105" s="7">
        <v>29</v>
      </c>
      <c r="G105" s="7" t="s">
        <v>15</v>
      </c>
      <c r="H105" s="9" t="s">
        <v>16</v>
      </c>
      <c r="I105" s="7" t="s">
        <v>32</v>
      </c>
      <c r="J105" s="7" t="str">
        <f t="shared" si="3"/>
        <v>KARA</v>
      </c>
      <c r="K105" s="7" t="s">
        <v>229</v>
      </c>
      <c r="L105" s="7" t="s">
        <v>33</v>
      </c>
      <c r="M105" s="21">
        <v>33.738</v>
      </c>
      <c r="N105" s="10" t="s">
        <v>20</v>
      </c>
      <c r="O105" s="11">
        <v>0</v>
      </c>
    </row>
    <row r="106" spans="1:15" x14ac:dyDescent="0.2">
      <c r="A106" s="12" t="s">
        <v>73</v>
      </c>
      <c r="B106" s="15">
        <v>45491</v>
      </c>
      <c r="C106" s="9" t="s">
        <v>12</v>
      </c>
      <c r="D106" s="7" t="s">
        <v>13</v>
      </c>
      <c r="E106" s="9" t="s">
        <v>22</v>
      </c>
      <c r="F106" s="7">
        <v>34</v>
      </c>
      <c r="G106" s="7" t="s">
        <v>15</v>
      </c>
      <c r="H106" s="9" t="s">
        <v>16</v>
      </c>
      <c r="I106" s="7" t="s">
        <v>32</v>
      </c>
      <c r="J106" s="7" t="str">
        <f t="shared" si="3"/>
        <v>KARA</v>
      </c>
      <c r="K106" s="7" t="s">
        <v>229</v>
      </c>
      <c r="L106" s="7" t="s">
        <v>33</v>
      </c>
      <c r="M106" s="22"/>
      <c r="N106" s="16" t="s">
        <v>46</v>
      </c>
      <c r="O106" s="11">
        <v>0</v>
      </c>
    </row>
    <row r="107" spans="1:15" x14ac:dyDescent="0.2">
      <c r="A107" s="12" t="s">
        <v>77</v>
      </c>
      <c r="B107" s="15">
        <v>45491</v>
      </c>
      <c r="C107" s="9" t="s">
        <v>12</v>
      </c>
      <c r="D107" s="7" t="s">
        <v>13</v>
      </c>
      <c r="E107" s="9" t="s">
        <v>22</v>
      </c>
      <c r="F107" s="7">
        <v>34</v>
      </c>
      <c r="G107" s="7" t="s">
        <v>15</v>
      </c>
      <c r="H107" s="9" t="s">
        <v>16</v>
      </c>
      <c r="I107" s="7" t="s">
        <v>32</v>
      </c>
      <c r="J107" s="7" t="str">
        <f t="shared" si="3"/>
        <v>KARA</v>
      </c>
      <c r="K107" s="7" t="s">
        <v>229</v>
      </c>
      <c r="L107" s="7" t="s">
        <v>33</v>
      </c>
      <c r="M107" s="21">
        <v>35.048999999999999</v>
      </c>
      <c r="N107" s="10" t="s">
        <v>20</v>
      </c>
      <c r="O107" s="11">
        <v>0.8</v>
      </c>
    </row>
    <row r="108" spans="1:15" x14ac:dyDescent="0.2">
      <c r="A108" s="12" t="s">
        <v>95</v>
      </c>
      <c r="B108" s="15">
        <v>45491</v>
      </c>
      <c r="C108" s="9" t="s">
        <v>12</v>
      </c>
      <c r="D108" s="7" t="s">
        <v>13</v>
      </c>
      <c r="E108" s="9" t="s">
        <v>22</v>
      </c>
      <c r="F108" s="7">
        <v>36</v>
      </c>
      <c r="G108" s="7" t="s">
        <v>15</v>
      </c>
      <c r="H108" s="9" t="s">
        <v>16</v>
      </c>
      <c r="I108" s="7" t="s">
        <v>32</v>
      </c>
      <c r="J108" s="7" t="str">
        <f t="shared" si="3"/>
        <v>KARA</v>
      </c>
      <c r="K108" s="7" t="s">
        <v>229</v>
      </c>
      <c r="L108" s="7" t="s">
        <v>33</v>
      </c>
      <c r="M108" s="21">
        <v>28.501999999999999</v>
      </c>
      <c r="N108" s="10" t="s">
        <v>20</v>
      </c>
      <c r="O108" s="11">
        <v>39.5</v>
      </c>
    </row>
    <row r="109" spans="1:15" x14ac:dyDescent="0.2">
      <c r="A109" s="12" t="s">
        <v>134</v>
      </c>
      <c r="B109" s="15">
        <v>45502</v>
      </c>
      <c r="C109" s="9" t="s">
        <v>12</v>
      </c>
      <c r="D109" s="7" t="s">
        <v>13</v>
      </c>
      <c r="E109" s="9" t="s">
        <v>22</v>
      </c>
      <c r="F109" s="7">
        <v>46</v>
      </c>
      <c r="G109" s="7" t="s">
        <v>15</v>
      </c>
      <c r="H109" s="9" t="s">
        <v>16</v>
      </c>
      <c r="I109" s="7" t="s">
        <v>17</v>
      </c>
      <c r="J109" s="7" t="str">
        <f t="shared" si="3"/>
        <v>GRAND LOMÉ</v>
      </c>
      <c r="K109" s="7" t="s">
        <v>232</v>
      </c>
      <c r="L109" s="7" t="s">
        <v>18</v>
      </c>
      <c r="M109" s="21">
        <v>28.295999999999999</v>
      </c>
      <c r="N109" s="10" t="s">
        <v>20</v>
      </c>
      <c r="O109" s="11">
        <v>90.6</v>
      </c>
    </row>
    <row r="110" spans="1:15" x14ac:dyDescent="0.2">
      <c r="A110" s="12" t="s">
        <v>90</v>
      </c>
      <c r="B110" s="15">
        <v>45502</v>
      </c>
      <c r="C110" s="9" t="s">
        <v>12</v>
      </c>
      <c r="D110" s="7" t="s">
        <v>13</v>
      </c>
      <c r="E110" s="9" t="s">
        <v>22</v>
      </c>
      <c r="F110" s="7">
        <v>30</v>
      </c>
      <c r="G110" s="7" t="s">
        <v>15</v>
      </c>
      <c r="H110" s="9" t="s">
        <v>16</v>
      </c>
      <c r="I110" s="7" t="s">
        <v>17</v>
      </c>
      <c r="J110" s="7" t="str">
        <f t="shared" si="3"/>
        <v>GRAND LOMÉ</v>
      </c>
      <c r="K110" s="7" t="s">
        <v>232</v>
      </c>
      <c r="L110" s="7" t="s">
        <v>18</v>
      </c>
      <c r="M110" s="20">
        <v>36.603000000000002</v>
      </c>
      <c r="N110" s="10" t="s">
        <v>20</v>
      </c>
      <c r="O110" s="11">
        <v>20.7</v>
      </c>
    </row>
    <row r="111" spans="1:15" x14ac:dyDescent="0.2">
      <c r="A111" s="12" t="s">
        <v>74</v>
      </c>
      <c r="B111" s="15">
        <v>45506</v>
      </c>
      <c r="C111" s="9" t="s">
        <v>12</v>
      </c>
      <c r="D111" s="7" t="s">
        <v>13</v>
      </c>
      <c r="E111" s="9" t="s">
        <v>22</v>
      </c>
      <c r="F111" s="7">
        <v>39</v>
      </c>
      <c r="G111" s="7" t="s">
        <v>23</v>
      </c>
      <c r="H111" s="9" t="s">
        <v>16</v>
      </c>
      <c r="I111" s="7" t="s">
        <v>17</v>
      </c>
      <c r="J111" s="7" t="str">
        <f t="shared" si="3"/>
        <v>GRAND LOMÉ</v>
      </c>
      <c r="K111" s="7" t="s">
        <v>232</v>
      </c>
      <c r="L111" s="7" t="s">
        <v>18</v>
      </c>
      <c r="M111" s="22"/>
      <c r="N111" s="16" t="s">
        <v>46</v>
      </c>
      <c r="O111" s="11">
        <v>0</v>
      </c>
    </row>
    <row r="112" spans="1:15" x14ac:dyDescent="0.2">
      <c r="A112" s="12" t="s">
        <v>141</v>
      </c>
      <c r="B112" s="8">
        <v>45530</v>
      </c>
      <c r="C112" s="9" t="s">
        <v>12</v>
      </c>
      <c r="D112" s="7" t="s">
        <v>13</v>
      </c>
      <c r="E112" s="9" t="s">
        <v>22</v>
      </c>
      <c r="F112" s="7">
        <v>28</v>
      </c>
      <c r="G112" s="7" t="s">
        <v>15</v>
      </c>
      <c r="H112" s="9" t="s">
        <v>16</v>
      </c>
      <c r="I112" s="7" t="s">
        <v>17</v>
      </c>
      <c r="J112" s="7" t="str">
        <f t="shared" si="3"/>
        <v>GRAND LOMÉ</v>
      </c>
      <c r="K112" s="7" t="s">
        <v>232</v>
      </c>
      <c r="L112" s="7" t="s">
        <v>18</v>
      </c>
      <c r="M112" s="21">
        <v>25.899000000000001</v>
      </c>
      <c r="N112" s="10" t="s">
        <v>20</v>
      </c>
      <c r="O112" s="11">
        <v>92.4</v>
      </c>
    </row>
    <row r="113" spans="1:15" x14ac:dyDescent="0.2">
      <c r="A113" s="12" t="s">
        <v>173</v>
      </c>
      <c r="B113" s="8">
        <v>45526</v>
      </c>
      <c r="C113" s="9" t="s">
        <v>12</v>
      </c>
      <c r="D113" s="7" t="s">
        <v>13</v>
      </c>
      <c r="E113" s="9" t="s">
        <v>22</v>
      </c>
      <c r="F113" s="7">
        <v>34</v>
      </c>
      <c r="G113" s="7" t="s">
        <v>23</v>
      </c>
      <c r="H113" s="9" t="s">
        <v>16</v>
      </c>
      <c r="I113" s="7" t="s">
        <v>17</v>
      </c>
      <c r="J113" s="7" t="str">
        <f t="shared" si="3"/>
        <v>GRAND LOMÉ</v>
      </c>
      <c r="K113" s="7" t="s">
        <v>232</v>
      </c>
      <c r="L113" s="7" t="s">
        <v>18</v>
      </c>
      <c r="M113" s="21">
        <v>25.606000000000002</v>
      </c>
      <c r="N113" s="10" t="s">
        <v>20</v>
      </c>
      <c r="O113" s="11">
        <v>97.9</v>
      </c>
    </row>
    <row r="114" spans="1:15" x14ac:dyDescent="0.2">
      <c r="A114" s="12" t="s">
        <v>130</v>
      </c>
      <c r="B114" s="8">
        <v>45512</v>
      </c>
      <c r="C114" s="9" t="s">
        <v>12</v>
      </c>
      <c r="D114" s="7" t="s">
        <v>13</v>
      </c>
      <c r="E114" s="9" t="s">
        <v>22</v>
      </c>
      <c r="F114" s="7">
        <v>39</v>
      </c>
      <c r="G114" s="7" t="s">
        <v>23</v>
      </c>
      <c r="H114" s="9" t="s">
        <v>16</v>
      </c>
      <c r="I114" s="7" t="s">
        <v>32</v>
      </c>
      <c r="J114" s="7" t="str">
        <f t="shared" si="3"/>
        <v>KARA</v>
      </c>
      <c r="K114" s="7" t="s">
        <v>229</v>
      </c>
      <c r="L114" s="7" t="s">
        <v>68</v>
      </c>
      <c r="M114" s="21">
        <v>30.183</v>
      </c>
      <c r="N114" s="10" t="s">
        <v>20</v>
      </c>
      <c r="O114" s="11">
        <v>89.2</v>
      </c>
    </row>
    <row r="115" spans="1:15" x14ac:dyDescent="0.2">
      <c r="A115" s="12" t="s">
        <v>138</v>
      </c>
      <c r="B115" s="8">
        <v>45506</v>
      </c>
      <c r="C115" s="9" t="s">
        <v>12</v>
      </c>
      <c r="D115" s="7" t="s">
        <v>13</v>
      </c>
      <c r="E115" s="9" t="s">
        <v>22</v>
      </c>
      <c r="F115" s="7">
        <v>28</v>
      </c>
      <c r="G115" s="7" t="s">
        <v>23</v>
      </c>
      <c r="H115" s="9" t="s">
        <v>16</v>
      </c>
      <c r="I115" s="7" t="s">
        <v>17</v>
      </c>
      <c r="J115" s="7" t="str">
        <f t="shared" si="3"/>
        <v>GRAND LOMÉ</v>
      </c>
      <c r="K115" s="7" t="s">
        <v>232</v>
      </c>
      <c r="L115" s="7" t="s">
        <v>26</v>
      </c>
      <c r="M115" s="21">
        <v>26.791</v>
      </c>
      <c r="N115" s="10" t="s">
        <v>20</v>
      </c>
      <c r="O115" s="11">
        <v>91.7</v>
      </c>
    </row>
    <row r="116" spans="1:15" x14ac:dyDescent="0.2">
      <c r="A116" s="12" t="s">
        <v>125</v>
      </c>
      <c r="B116" s="8">
        <v>45506</v>
      </c>
      <c r="C116" s="9" t="s">
        <v>12</v>
      </c>
      <c r="D116" s="7" t="s">
        <v>13</v>
      </c>
      <c r="E116" s="9" t="s">
        <v>22</v>
      </c>
      <c r="F116" s="7">
        <v>30</v>
      </c>
      <c r="G116" s="7" t="s">
        <v>15</v>
      </c>
      <c r="H116" s="9" t="s">
        <v>16</v>
      </c>
      <c r="I116" s="7" t="s">
        <v>17</v>
      </c>
      <c r="J116" s="7" t="str">
        <f t="shared" si="3"/>
        <v>GRAND LOMÉ</v>
      </c>
      <c r="K116" s="7" t="s">
        <v>232</v>
      </c>
      <c r="L116" s="7" t="s">
        <v>26</v>
      </c>
      <c r="M116" s="21">
        <v>27.283999999999999</v>
      </c>
      <c r="N116" s="10" t="s">
        <v>20</v>
      </c>
      <c r="O116" s="11">
        <v>84.3</v>
      </c>
    </row>
    <row r="117" spans="1:15" x14ac:dyDescent="0.2">
      <c r="A117" s="12" t="s">
        <v>107</v>
      </c>
      <c r="B117" s="8">
        <v>45512</v>
      </c>
      <c r="C117" s="9" t="s">
        <v>12</v>
      </c>
      <c r="D117" s="7" t="s">
        <v>13</v>
      </c>
      <c r="E117" s="9" t="s">
        <v>22</v>
      </c>
      <c r="F117" s="7">
        <v>40</v>
      </c>
      <c r="G117" s="7" t="s">
        <v>15</v>
      </c>
      <c r="H117" s="9" t="s">
        <v>16</v>
      </c>
      <c r="I117" s="7" t="s">
        <v>17</v>
      </c>
      <c r="J117" s="7" t="str">
        <f t="shared" si="3"/>
        <v>GRAND LOMÉ</v>
      </c>
      <c r="K117" s="7" t="s">
        <v>232</v>
      </c>
      <c r="L117" s="7" t="s">
        <v>18</v>
      </c>
      <c r="M117" s="21">
        <v>28.062999999999999</v>
      </c>
      <c r="N117" s="10" t="s">
        <v>20</v>
      </c>
      <c r="O117" s="11">
        <v>56.9</v>
      </c>
    </row>
    <row r="118" spans="1:15" x14ac:dyDescent="0.2">
      <c r="A118" s="12" t="s">
        <v>136</v>
      </c>
      <c r="B118" s="8">
        <v>45510</v>
      </c>
      <c r="C118" s="9" t="s">
        <v>12</v>
      </c>
      <c r="D118" s="7" t="s">
        <v>13</v>
      </c>
      <c r="E118" s="9" t="s">
        <v>22</v>
      </c>
      <c r="F118" s="7">
        <v>43</v>
      </c>
      <c r="G118" s="7" t="s">
        <v>23</v>
      </c>
      <c r="H118" s="9" t="s">
        <v>16</v>
      </c>
      <c r="I118" s="7" t="s">
        <v>17</v>
      </c>
      <c r="J118" s="7" t="str">
        <f t="shared" si="3"/>
        <v>GRAND LOMÉ</v>
      </c>
      <c r="K118" s="7" t="s">
        <v>232</v>
      </c>
      <c r="L118" s="7" t="s">
        <v>18</v>
      </c>
      <c r="M118" s="21">
        <v>29.306000000000001</v>
      </c>
      <c r="N118" s="10" t="s">
        <v>20</v>
      </c>
      <c r="O118" s="11">
        <v>90.9</v>
      </c>
    </row>
    <row r="119" spans="1:15" x14ac:dyDescent="0.2">
      <c r="A119" s="12" t="s">
        <v>158</v>
      </c>
      <c r="B119" s="8">
        <v>45525</v>
      </c>
      <c r="C119" s="9" t="s">
        <v>12</v>
      </c>
      <c r="D119" s="7" t="s">
        <v>13</v>
      </c>
      <c r="E119" s="9" t="s">
        <v>22</v>
      </c>
      <c r="F119" s="7">
        <v>34</v>
      </c>
      <c r="G119" s="7" t="s">
        <v>15</v>
      </c>
      <c r="H119" s="9" t="s">
        <v>16</v>
      </c>
      <c r="I119" s="7" t="s">
        <v>159</v>
      </c>
      <c r="J119" s="7" t="str">
        <f t="shared" si="3"/>
        <v>SAVANES</v>
      </c>
      <c r="K119" s="7" t="s">
        <v>231</v>
      </c>
      <c r="L119" s="7" t="s">
        <v>160</v>
      </c>
      <c r="M119" s="21">
        <v>26.215</v>
      </c>
      <c r="N119" s="10" t="s">
        <v>20</v>
      </c>
      <c r="O119" s="11">
        <v>95.9</v>
      </c>
    </row>
    <row r="120" spans="1:15" x14ac:dyDescent="0.2">
      <c r="A120" s="12" t="s">
        <v>162</v>
      </c>
      <c r="B120" s="8">
        <v>45497</v>
      </c>
      <c r="C120" s="9" t="s">
        <v>12</v>
      </c>
      <c r="D120" s="7" t="s">
        <v>13</v>
      </c>
      <c r="E120" s="9" t="s">
        <v>22</v>
      </c>
      <c r="F120" s="7">
        <v>14</v>
      </c>
      <c r="G120" s="7" t="s">
        <v>15</v>
      </c>
      <c r="H120" s="9" t="s">
        <v>16</v>
      </c>
      <c r="I120" s="7" t="s">
        <v>32</v>
      </c>
      <c r="J120" s="7" t="str">
        <f t="shared" si="3"/>
        <v>KARA</v>
      </c>
      <c r="K120" s="7" t="s">
        <v>229</v>
      </c>
      <c r="L120" s="7" t="s">
        <v>68</v>
      </c>
      <c r="M120" s="21">
        <v>27.172000000000001</v>
      </c>
      <c r="N120" s="10" t="s">
        <v>20</v>
      </c>
      <c r="O120" s="11">
        <v>96.3</v>
      </c>
    </row>
    <row r="121" spans="1:15" x14ac:dyDescent="0.2">
      <c r="A121" s="12" t="s">
        <v>142</v>
      </c>
      <c r="B121" s="8">
        <v>45496</v>
      </c>
      <c r="C121" s="9" t="s">
        <v>12</v>
      </c>
      <c r="D121" s="7" t="s">
        <v>13</v>
      </c>
      <c r="E121" s="9" t="s">
        <v>22</v>
      </c>
      <c r="F121" s="7">
        <v>45</v>
      </c>
      <c r="G121" s="7" t="s">
        <v>23</v>
      </c>
      <c r="H121" s="9" t="s">
        <v>16</v>
      </c>
      <c r="I121" s="7" t="s">
        <v>32</v>
      </c>
      <c r="J121" s="7" t="str">
        <f t="shared" si="3"/>
        <v>KARA</v>
      </c>
      <c r="K121" s="7" t="s">
        <v>229</v>
      </c>
      <c r="L121" s="7" t="s">
        <v>68</v>
      </c>
      <c r="M121" s="21">
        <v>28.347000000000001</v>
      </c>
      <c r="N121" s="10" t="s">
        <v>20</v>
      </c>
      <c r="O121" s="11">
        <v>93.4</v>
      </c>
    </row>
    <row r="122" spans="1:15" x14ac:dyDescent="0.2">
      <c r="A122" s="12" t="s">
        <v>157</v>
      </c>
      <c r="B122" s="8">
        <v>45497</v>
      </c>
      <c r="C122" s="9" t="s">
        <v>12</v>
      </c>
      <c r="D122" s="7" t="s">
        <v>13</v>
      </c>
      <c r="E122" s="9" t="s">
        <v>22</v>
      </c>
      <c r="F122" s="7">
        <v>20</v>
      </c>
      <c r="G122" s="7" t="s">
        <v>23</v>
      </c>
      <c r="H122" s="9" t="s">
        <v>16</v>
      </c>
      <c r="I122" s="7" t="s">
        <v>32</v>
      </c>
      <c r="J122" s="7" t="str">
        <f t="shared" si="3"/>
        <v>KARA</v>
      </c>
      <c r="K122" s="7" t="s">
        <v>229</v>
      </c>
      <c r="L122" s="7" t="s">
        <v>68</v>
      </c>
      <c r="M122" s="21">
        <v>20.484000000000002</v>
      </c>
      <c r="N122" s="10" t="s">
        <v>20</v>
      </c>
      <c r="O122" s="11">
        <v>95.3</v>
      </c>
    </row>
    <row r="123" spans="1:15" x14ac:dyDescent="0.2">
      <c r="A123" s="12" t="s">
        <v>31</v>
      </c>
      <c r="B123" s="8"/>
      <c r="C123" s="9" t="s">
        <v>12</v>
      </c>
      <c r="D123" s="7" t="s">
        <v>13</v>
      </c>
      <c r="E123" s="9" t="s">
        <v>14</v>
      </c>
      <c r="F123" s="7">
        <v>44</v>
      </c>
      <c r="G123" s="7" t="s">
        <v>23</v>
      </c>
      <c r="H123" s="9" t="s">
        <v>16</v>
      </c>
      <c r="I123" s="7" t="s">
        <v>32</v>
      </c>
      <c r="J123" s="7" t="str">
        <f t="shared" si="3"/>
        <v>KARA</v>
      </c>
      <c r="K123" s="7" t="s">
        <v>229</v>
      </c>
      <c r="L123" s="7" t="s">
        <v>33</v>
      </c>
      <c r="M123" s="21">
        <v>28.911999999999999</v>
      </c>
      <c r="N123" s="10" t="s">
        <v>20</v>
      </c>
      <c r="O123" s="11">
        <v>0</v>
      </c>
    </row>
    <row r="124" spans="1:15" x14ac:dyDescent="0.2">
      <c r="A124" s="12" t="s">
        <v>103</v>
      </c>
      <c r="B124" s="8"/>
      <c r="C124" s="9" t="s">
        <v>12</v>
      </c>
      <c r="D124" s="7" t="s">
        <v>13</v>
      </c>
      <c r="E124" s="9" t="s">
        <v>14</v>
      </c>
      <c r="F124" s="7">
        <v>35</v>
      </c>
      <c r="G124" s="7" t="s">
        <v>15</v>
      </c>
      <c r="H124" s="9" t="s">
        <v>16</v>
      </c>
      <c r="I124" s="7" t="s">
        <v>32</v>
      </c>
      <c r="J124" s="7" t="str">
        <f t="shared" si="3"/>
        <v>KARA</v>
      </c>
      <c r="K124" s="7" t="s">
        <v>229</v>
      </c>
      <c r="L124" s="7" t="s">
        <v>33</v>
      </c>
      <c r="M124" s="21">
        <v>31.747</v>
      </c>
      <c r="N124" s="10" t="s">
        <v>20</v>
      </c>
      <c r="O124" s="11">
        <v>50.9</v>
      </c>
    </row>
    <row r="125" spans="1:15" x14ac:dyDescent="0.2">
      <c r="A125" s="12" t="s">
        <v>179</v>
      </c>
      <c r="B125" s="8">
        <v>45496</v>
      </c>
      <c r="C125" s="9" t="s">
        <v>12</v>
      </c>
      <c r="D125" s="7" t="s">
        <v>13</v>
      </c>
      <c r="E125" s="9" t="s">
        <v>14</v>
      </c>
      <c r="F125" s="7">
        <v>31</v>
      </c>
      <c r="G125" s="7" t="s">
        <v>15</v>
      </c>
      <c r="H125" s="9" t="s">
        <v>16</v>
      </c>
      <c r="I125" s="7" t="s">
        <v>32</v>
      </c>
      <c r="J125" s="7" t="str">
        <f t="shared" si="3"/>
        <v>KARA</v>
      </c>
      <c r="K125" s="7" t="s">
        <v>229</v>
      </c>
      <c r="L125" s="7" t="s">
        <v>33</v>
      </c>
      <c r="M125" s="21">
        <v>18.841999999999999</v>
      </c>
      <c r="N125" s="10" t="s">
        <v>20</v>
      </c>
      <c r="O125" s="11">
        <v>98.8</v>
      </c>
    </row>
    <row r="126" spans="1:15" x14ac:dyDescent="0.2">
      <c r="A126" s="12" t="s">
        <v>169</v>
      </c>
      <c r="B126" s="8">
        <v>45496</v>
      </c>
      <c r="C126" s="9" t="s">
        <v>12</v>
      </c>
      <c r="D126" s="7" t="s">
        <v>13</v>
      </c>
      <c r="E126" s="9" t="s">
        <v>14</v>
      </c>
      <c r="F126" s="7">
        <v>41</v>
      </c>
      <c r="G126" s="7" t="s">
        <v>23</v>
      </c>
      <c r="H126" s="9" t="s">
        <v>16</v>
      </c>
      <c r="I126" s="7" t="s">
        <v>32</v>
      </c>
      <c r="J126" s="7" t="str">
        <f t="shared" si="3"/>
        <v>KARA</v>
      </c>
      <c r="K126" s="7" t="s">
        <v>229</v>
      </c>
      <c r="L126" s="7" t="s">
        <v>33</v>
      </c>
      <c r="M126" s="21">
        <v>21.719000000000001</v>
      </c>
      <c r="N126" s="10" t="s">
        <v>20</v>
      </c>
      <c r="O126" s="11">
        <v>97.1</v>
      </c>
    </row>
    <row r="127" spans="1:15" x14ac:dyDescent="0.2">
      <c r="A127" s="12" t="s">
        <v>147</v>
      </c>
      <c r="B127" s="8">
        <v>45499</v>
      </c>
      <c r="C127" s="9" t="s">
        <v>12</v>
      </c>
      <c r="D127" s="7" t="s">
        <v>13</v>
      </c>
      <c r="E127" s="9" t="s">
        <v>14</v>
      </c>
      <c r="F127" s="7">
        <v>35</v>
      </c>
      <c r="G127" s="7" t="s">
        <v>23</v>
      </c>
      <c r="H127" s="9" t="s">
        <v>16</v>
      </c>
      <c r="I127" s="7" t="s">
        <v>32</v>
      </c>
      <c r="J127" s="7" t="str">
        <f t="shared" si="3"/>
        <v>KARA</v>
      </c>
      <c r="K127" s="7" t="s">
        <v>229</v>
      </c>
      <c r="L127" s="7" t="s">
        <v>33</v>
      </c>
      <c r="M127" s="21">
        <v>26.635000000000002</v>
      </c>
      <c r="N127" s="10" t="s">
        <v>20</v>
      </c>
      <c r="O127" s="11">
        <v>93.7</v>
      </c>
    </row>
    <row r="128" spans="1:15" x14ac:dyDescent="0.2">
      <c r="A128" s="14" t="s">
        <v>75</v>
      </c>
      <c r="B128" s="8">
        <v>45499</v>
      </c>
      <c r="C128" s="9" t="s">
        <v>12</v>
      </c>
      <c r="D128" s="7" t="s">
        <v>13</v>
      </c>
      <c r="E128" s="9" t="s">
        <v>14</v>
      </c>
      <c r="F128" s="7">
        <v>58</v>
      </c>
      <c r="G128" s="7" t="s">
        <v>23</v>
      </c>
      <c r="H128" s="9" t="s">
        <v>16</v>
      </c>
      <c r="I128" s="7" t="s">
        <v>32</v>
      </c>
      <c r="J128" s="7" t="str">
        <f t="shared" si="3"/>
        <v>KARA</v>
      </c>
      <c r="K128" s="7" t="s">
        <v>229</v>
      </c>
      <c r="L128" s="7" t="s">
        <v>33</v>
      </c>
      <c r="M128" s="22"/>
      <c r="N128" s="16" t="s">
        <v>46</v>
      </c>
      <c r="O128" s="11">
        <v>0</v>
      </c>
    </row>
    <row r="129" spans="1:15" x14ac:dyDescent="0.2">
      <c r="A129" s="14" t="s">
        <v>115</v>
      </c>
      <c r="B129" s="8">
        <v>45501</v>
      </c>
      <c r="C129" s="9" t="s">
        <v>12</v>
      </c>
      <c r="D129" s="7" t="s">
        <v>13</v>
      </c>
      <c r="E129" s="9" t="s">
        <v>14</v>
      </c>
      <c r="F129" s="7">
        <v>48</v>
      </c>
      <c r="G129" s="7" t="s">
        <v>15</v>
      </c>
      <c r="H129" s="9" t="s">
        <v>16</v>
      </c>
      <c r="I129" s="7" t="s">
        <v>32</v>
      </c>
      <c r="J129" s="7" t="str">
        <f t="shared" si="3"/>
        <v>KARA</v>
      </c>
      <c r="K129" s="7" t="s">
        <v>229</v>
      </c>
      <c r="L129" s="7" t="s">
        <v>33</v>
      </c>
      <c r="M129" s="21">
        <v>31.268000000000001</v>
      </c>
      <c r="N129" s="10" t="s">
        <v>20</v>
      </c>
      <c r="O129" s="11">
        <v>71.2</v>
      </c>
    </row>
    <row r="130" spans="1:15" x14ac:dyDescent="0.2">
      <c r="A130" s="14" t="s">
        <v>175</v>
      </c>
      <c r="B130" s="8">
        <v>45500</v>
      </c>
      <c r="C130" s="9" t="s">
        <v>12</v>
      </c>
      <c r="D130" s="7" t="s">
        <v>13</v>
      </c>
      <c r="E130" s="9" t="s">
        <v>14</v>
      </c>
      <c r="F130" s="7">
        <v>20</v>
      </c>
      <c r="G130" s="7" t="s">
        <v>15</v>
      </c>
      <c r="H130" s="9" t="s">
        <v>16</v>
      </c>
      <c r="I130" s="7" t="s">
        <v>32</v>
      </c>
      <c r="J130" s="7" t="str">
        <f t="shared" ref="J130:J161" si="4">UPPER(I130)</f>
        <v>KARA</v>
      </c>
      <c r="K130" s="7" t="s">
        <v>229</v>
      </c>
      <c r="L130" s="7" t="s">
        <v>33</v>
      </c>
      <c r="M130" s="21">
        <v>25.303999999999998</v>
      </c>
      <c r="N130" s="10" t="s">
        <v>20</v>
      </c>
      <c r="O130" s="11">
        <v>98.2</v>
      </c>
    </row>
    <row r="131" spans="1:15" x14ac:dyDescent="0.2">
      <c r="A131" s="14" t="s">
        <v>111</v>
      </c>
      <c r="B131" s="8">
        <v>45503</v>
      </c>
      <c r="C131" s="9" t="s">
        <v>12</v>
      </c>
      <c r="D131" s="7" t="s">
        <v>13</v>
      </c>
      <c r="E131" s="9" t="s">
        <v>14</v>
      </c>
      <c r="F131" s="7">
        <v>21</v>
      </c>
      <c r="G131" s="7" t="s">
        <v>23</v>
      </c>
      <c r="H131" s="9" t="s">
        <v>16</v>
      </c>
      <c r="I131" s="7" t="s">
        <v>32</v>
      </c>
      <c r="J131" s="7" t="str">
        <f t="shared" si="4"/>
        <v>KARA</v>
      </c>
      <c r="K131" s="7" t="s">
        <v>229</v>
      </c>
      <c r="L131" s="7" t="s">
        <v>33</v>
      </c>
      <c r="M131" s="21">
        <v>35.19</v>
      </c>
      <c r="N131" s="10" t="s">
        <v>20</v>
      </c>
      <c r="O131" s="11">
        <v>60.2</v>
      </c>
    </row>
    <row r="132" spans="1:15" x14ac:dyDescent="0.2">
      <c r="A132" s="14" t="s">
        <v>180</v>
      </c>
      <c r="B132" s="8">
        <v>45503</v>
      </c>
      <c r="C132" s="9" t="s">
        <v>12</v>
      </c>
      <c r="D132" s="7" t="s">
        <v>13</v>
      </c>
      <c r="E132" s="9" t="s">
        <v>14</v>
      </c>
      <c r="F132" s="7">
        <v>55</v>
      </c>
      <c r="G132" s="7" t="s">
        <v>15</v>
      </c>
      <c r="H132" s="9" t="s">
        <v>16</v>
      </c>
      <c r="I132" s="7" t="s">
        <v>32</v>
      </c>
      <c r="J132" s="7" t="str">
        <f t="shared" si="4"/>
        <v>KARA</v>
      </c>
      <c r="K132" s="7" t="s">
        <v>229</v>
      </c>
      <c r="L132" s="7" t="s">
        <v>33</v>
      </c>
      <c r="M132" s="21">
        <v>22.617000000000001</v>
      </c>
      <c r="N132" s="10" t="s">
        <v>20</v>
      </c>
      <c r="O132" s="11">
        <v>98.8</v>
      </c>
    </row>
    <row r="133" spans="1:15" x14ac:dyDescent="0.2">
      <c r="A133" s="14" t="s">
        <v>177</v>
      </c>
      <c r="B133" s="8">
        <v>45502</v>
      </c>
      <c r="C133" s="9" t="s">
        <v>12</v>
      </c>
      <c r="D133" s="7" t="s">
        <v>13</v>
      </c>
      <c r="E133" s="9" t="s">
        <v>14</v>
      </c>
      <c r="F133" s="7">
        <v>29</v>
      </c>
      <c r="G133" s="7" t="s">
        <v>15</v>
      </c>
      <c r="H133" s="9" t="s">
        <v>16</v>
      </c>
      <c r="I133" s="7" t="s">
        <v>32</v>
      </c>
      <c r="J133" s="7" t="str">
        <f t="shared" si="4"/>
        <v>KARA</v>
      </c>
      <c r="K133" s="7" t="s">
        <v>229</v>
      </c>
      <c r="L133" s="7" t="s">
        <v>33</v>
      </c>
      <c r="M133" s="21">
        <v>23.408000000000001</v>
      </c>
      <c r="N133" s="10" t="s">
        <v>20</v>
      </c>
      <c r="O133" s="11">
        <v>98.6</v>
      </c>
    </row>
    <row r="134" spans="1:15" x14ac:dyDescent="0.2">
      <c r="A134" s="14" t="s">
        <v>181</v>
      </c>
      <c r="B134" s="8">
        <v>45502</v>
      </c>
      <c r="C134" s="9" t="s">
        <v>12</v>
      </c>
      <c r="D134" s="7" t="s">
        <v>13</v>
      </c>
      <c r="E134" s="9" t="s">
        <v>14</v>
      </c>
      <c r="F134" s="7">
        <v>34</v>
      </c>
      <c r="G134" s="7" t="s">
        <v>23</v>
      </c>
      <c r="H134" s="9" t="s">
        <v>16</v>
      </c>
      <c r="I134" s="7" t="s">
        <v>32</v>
      </c>
      <c r="J134" s="7" t="str">
        <f t="shared" si="4"/>
        <v>KARA</v>
      </c>
      <c r="K134" s="7" t="s">
        <v>229</v>
      </c>
      <c r="L134" s="7" t="s">
        <v>33</v>
      </c>
      <c r="M134" s="21">
        <v>26.116</v>
      </c>
      <c r="N134" s="10" t="s">
        <v>20</v>
      </c>
      <c r="O134" s="11">
        <v>99.1</v>
      </c>
    </row>
    <row r="135" spans="1:15" x14ac:dyDescent="0.2">
      <c r="A135" s="14" t="s">
        <v>118</v>
      </c>
      <c r="B135" s="8">
        <v>45500</v>
      </c>
      <c r="C135" s="9" t="s">
        <v>12</v>
      </c>
      <c r="D135" s="7" t="s">
        <v>13</v>
      </c>
      <c r="E135" s="9" t="s">
        <v>14</v>
      </c>
      <c r="F135" s="7">
        <v>24</v>
      </c>
      <c r="G135" s="7" t="s">
        <v>15</v>
      </c>
      <c r="H135" s="9" t="s">
        <v>16</v>
      </c>
      <c r="I135" s="7" t="s">
        <v>32</v>
      </c>
      <c r="J135" s="7" t="str">
        <f t="shared" si="4"/>
        <v>KARA</v>
      </c>
      <c r="K135" s="7" t="s">
        <v>229</v>
      </c>
      <c r="L135" s="7" t="s">
        <v>33</v>
      </c>
      <c r="M135" s="21">
        <v>29.811</v>
      </c>
      <c r="N135" s="10" t="s">
        <v>20</v>
      </c>
      <c r="O135" s="11">
        <v>77.2</v>
      </c>
    </row>
    <row r="136" spans="1:15" x14ac:dyDescent="0.2">
      <c r="A136" s="14" t="s">
        <v>152</v>
      </c>
      <c r="B136" s="8">
        <v>45500</v>
      </c>
      <c r="C136" s="9" t="s">
        <v>12</v>
      </c>
      <c r="D136" s="7" t="s">
        <v>13</v>
      </c>
      <c r="E136" s="9" t="s">
        <v>14</v>
      </c>
      <c r="F136" s="7">
        <v>29</v>
      </c>
      <c r="G136" s="7" t="s">
        <v>15</v>
      </c>
      <c r="H136" s="9" t="s">
        <v>16</v>
      </c>
      <c r="I136" s="7" t="s">
        <v>32</v>
      </c>
      <c r="J136" s="7" t="str">
        <f t="shared" si="4"/>
        <v>KARA</v>
      </c>
      <c r="K136" s="7" t="s">
        <v>229</v>
      </c>
      <c r="L136" s="7" t="s">
        <v>33</v>
      </c>
      <c r="M136" s="21">
        <v>22.547999999999998</v>
      </c>
      <c r="N136" s="10" t="s">
        <v>20</v>
      </c>
      <c r="O136" s="11">
        <v>94.7</v>
      </c>
    </row>
    <row r="137" spans="1:15" x14ac:dyDescent="0.2">
      <c r="A137" s="14" t="s">
        <v>167</v>
      </c>
      <c r="B137" s="8">
        <v>45504</v>
      </c>
      <c r="C137" s="9" t="s">
        <v>12</v>
      </c>
      <c r="D137" s="7" t="s">
        <v>13</v>
      </c>
      <c r="E137" s="9" t="s">
        <v>14</v>
      </c>
      <c r="F137" s="7">
        <v>22</v>
      </c>
      <c r="G137" s="7" t="s">
        <v>23</v>
      </c>
      <c r="H137" s="9" t="s">
        <v>16</v>
      </c>
      <c r="I137" s="7" t="s">
        <v>32</v>
      </c>
      <c r="J137" s="7" t="str">
        <f t="shared" si="4"/>
        <v>KARA</v>
      </c>
      <c r="K137" s="7" t="s">
        <v>229</v>
      </c>
      <c r="L137" s="7" t="s">
        <v>33</v>
      </c>
      <c r="M137" s="21">
        <v>24.202999999999999</v>
      </c>
      <c r="N137" s="10" t="s">
        <v>20</v>
      </c>
      <c r="O137" s="11">
        <v>96.7</v>
      </c>
    </row>
    <row r="138" spans="1:15" x14ac:dyDescent="0.2">
      <c r="A138" s="14" t="s">
        <v>166</v>
      </c>
      <c r="B138" s="8">
        <v>45504</v>
      </c>
      <c r="C138" s="9" t="s">
        <v>12</v>
      </c>
      <c r="D138" s="7" t="s">
        <v>13</v>
      </c>
      <c r="E138" s="9" t="s">
        <v>14</v>
      </c>
      <c r="F138" s="7">
        <v>51</v>
      </c>
      <c r="G138" s="7" t="s">
        <v>15</v>
      </c>
      <c r="H138" s="9" t="s">
        <v>16</v>
      </c>
      <c r="I138" s="7" t="s">
        <v>32</v>
      </c>
      <c r="J138" s="7" t="str">
        <f t="shared" si="4"/>
        <v>KARA</v>
      </c>
      <c r="K138" s="7" t="s">
        <v>229</v>
      </c>
      <c r="L138" s="7" t="s">
        <v>33</v>
      </c>
      <c r="M138" s="21">
        <v>22.712</v>
      </c>
      <c r="N138" s="10" t="s">
        <v>20</v>
      </c>
      <c r="O138" s="11">
        <v>96.7</v>
      </c>
    </row>
    <row r="139" spans="1:15" x14ac:dyDescent="0.2">
      <c r="A139" s="14" t="s">
        <v>172</v>
      </c>
      <c r="B139" s="8">
        <v>45505</v>
      </c>
      <c r="C139" s="9" t="s">
        <v>12</v>
      </c>
      <c r="D139" s="7" t="s">
        <v>13</v>
      </c>
      <c r="E139" s="9" t="s">
        <v>14</v>
      </c>
      <c r="F139" s="7">
        <v>23</v>
      </c>
      <c r="G139" s="7" t="s">
        <v>15</v>
      </c>
      <c r="H139" s="9" t="s">
        <v>16</v>
      </c>
      <c r="I139" s="7" t="s">
        <v>32</v>
      </c>
      <c r="J139" s="7" t="str">
        <f t="shared" si="4"/>
        <v>KARA</v>
      </c>
      <c r="K139" s="7" t="s">
        <v>229</v>
      </c>
      <c r="L139" s="7" t="s">
        <v>33</v>
      </c>
      <c r="M139" s="21">
        <v>23.975999999999999</v>
      </c>
      <c r="N139" s="10" t="s">
        <v>20</v>
      </c>
      <c r="O139" s="11">
        <v>97.6</v>
      </c>
    </row>
    <row r="140" spans="1:15" x14ac:dyDescent="0.2">
      <c r="A140" s="14" t="s">
        <v>128</v>
      </c>
      <c r="B140" s="8">
        <v>45504</v>
      </c>
      <c r="C140" s="9" t="s">
        <v>12</v>
      </c>
      <c r="D140" s="7" t="s">
        <v>13</v>
      </c>
      <c r="E140" s="9" t="s">
        <v>14</v>
      </c>
      <c r="F140" s="7">
        <v>22</v>
      </c>
      <c r="G140" s="7" t="s">
        <v>15</v>
      </c>
      <c r="H140" s="9" t="s">
        <v>16</v>
      </c>
      <c r="I140" s="7" t="s">
        <v>32</v>
      </c>
      <c r="J140" s="7" t="str">
        <f t="shared" si="4"/>
        <v>KARA</v>
      </c>
      <c r="K140" s="7" t="s">
        <v>229</v>
      </c>
      <c r="L140" s="7" t="s">
        <v>33</v>
      </c>
      <c r="M140" s="21">
        <v>29.257999999999999</v>
      </c>
      <c r="N140" s="10" t="s">
        <v>20</v>
      </c>
      <c r="O140" s="11">
        <v>87</v>
      </c>
    </row>
    <row r="141" spans="1:15" x14ac:dyDescent="0.2">
      <c r="A141" s="14" t="s">
        <v>174</v>
      </c>
      <c r="B141" s="8">
        <v>45509</v>
      </c>
      <c r="C141" s="9" t="s">
        <v>12</v>
      </c>
      <c r="D141" s="7" t="s">
        <v>13</v>
      </c>
      <c r="E141" s="9" t="s">
        <v>14</v>
      </c>
      <c r="F141" s="7">
        <v>46</v>
      </c>
      <c r="G141" s="7" t="s">
        <v>15</v>
      </c>
      <c r="H141" s="9" t="s">
        <v>16</v>
      </c>
      <c r="I141" s="7" t="s">
        <v>32</v>
      </c>
      <c r="J141" s="7" t="str">
        <f t="shared" si="4"/>
        <v>KARA</v>
      </c>
      <c r="K141" s="7" t="s">
        <v>229</v>
      </c>
      <c r="L141" s="7" t="s">
        <v>33</v>
      </c>
      <c r="M141" s="21">
        <v>23.516999999999999</v>
      </c>
      <c r="N141" s="10" t="s">
        <v>20</v>
      </c>
      <c r="O141" s="11">
        <v>98</v>
      </c>
    </row>
    <row r="142" spans="1:15" x14ac:dyDescent="0.2">
      <c r="A142" s="14" t="s">
        <v>153</v>
      </c>
      <c r="B142" s="8">
        <v>45511</v>
      </c>
      <c r="C142" s="9" t="s">
        <v>12</v>
      </c>
      <c r="D142" s="7" t="s">
        <v>13</v>
      </c>
      <c r="E142" s="9" t="s">
        <v>14</v>
      </c>
      <c r="F142" s="7">
        <v>36</v>
      </c>
      <c r="G142" s="7" t="s">
        <v>15</v>
      </c>
      <c r="H142" s="9" t="s">
        <v>16</v>
      </c>
      <c r="I142" s="7" t="s">
        <v>32</v>
      </c>
      <c r="J142" s="7" t="str">
        <f t="shared" si="4"/>
        <v>KARA</v>
      </c>
      <c r="K142" s="7" t="s">
        <v>229</v>
      </c>
      <c r="L142" s="7" t="s">
        <v>33</v>
      </c>
      <c r="M142" s="21">
        <v>25.6</v>
      </c>
      <c r="N142" s="10" t="s">
        <v>20</v>
      </c>
      <c r="O142" s="11">
        <v>94.7</v>
      </c>
    </row>
    <row r="143" spans="1:15" x14ac:dyDescent="0.2">
      <c r="A143" s="14" t="s">
        <v>182</v>
      </c>
      <c r="B143" s="8">
        <v>45518</v>
      </c>
      <c r="C143" s="9" t="s">
        <v>12</v>
      </c>
      <c r="D143" s="7" t="s">
        <v>13</v>
      </c>
      <c r="E143" s="9" t="s">
        <v>14</v>
      </c>
      <c r="F143" s="7">
        <v>30</v>
      </c>
      <c r="G143" s="7" t="s">
        <v>15</v>
      </c>
      <c r="H143" s="9" t="s">
        <v>16</v>
      </c>
      <c r="I143" s="7" t="s">
        <v>32</v>
      </c>
      <c r="J143" s="7" t="str">
        <f t="shared" si="4"/>
        <v>KARA</v>
      </c>
      <c r="K143" s="7" t="s">
        <v>229</v>
      </c>
      <c r="L143" s="7" t="s">
        <v>68</v>
      </c>
      <c r="M143" s="21">
        <v>20.672000000000001</v>
      </c>
      <c r="N143" s="10" t="s">
        <v>20</v>
      </c>
      <c r="O143" s="11">
        <v>99.2</v>
      </c>
    </row>
    <row r="144" spans="1:15" x14ac:dyDescent="0.2">
      <c r="A144" s="14" t="s">
        <v>163</v>
      </c>
      <c r="B144" s="8">
        <v>45524</v>
      </c>
      <c r="C144" s="9" t="s">
        <v>12</v>
      </c>
      <c r="D144" s="7" t="s">
        <v>13</v>
      </c>
      <c r="E144" s="9" t="s">
        <v>14</v>
      </c>
      <c r="F144" s="7">
        <v>40</v>
      </c>
      <c r="G144" s="7" t="s">
        <v>23</v>
      </c>
      <c r="H144" s="9" t="s">
        <v>16</v>
      </c>
      <c r="I144" s="7" t="s">
        <v>32</v>
      </c>
      <c r="J144" s="7" t="str">
        <f t="shared" si="4"/>
        <v>KARA</v>
      </c>
      <c r="K144" s="7" t="s">
        <v>229</v>
      </c>
      <c r="L144" s="7" t="s">
        <v>164</v>
      </c>
      <c r="M144" s="21">
        <v>23.291</v>
      </c>
      <c r="N144" s="10" t="s">
        <v>20</v>
      </c>
      <c r="O144" s="11">
        <v>96.5</v>
      </c>
    </row>
    <row r="145" spans="1:15" x14ac:dyDescent="0.2">
      <c r="A145" s="14" t="s">
        <v>140</v>
      </c>
      <c r="B145" s="8">
        <v>45531</v>
      </c>
      <c r="C145" s="9" t="s">
        <v>12</v>
      </c>
      <c r="D145" s="7" t="s">
        <v>13</v>
      </c>
      <c r="E145" s="9" t="s">
        <v>14</v>
      </c>
      <c r="F145" s="7">
        <v>23</v>
      </c>
      <c r="G145" s="7" t="s">
        <v>23</v>
      </c>
      <c r="H145" s="9" t="s">
        <v>16</v>
      </c>
      <c r="I145" s="7" t="s">
        <v>32</v>
      </c>
      <c r="J145" s="7" t="str">
        <f t="shared" si="4"/>
        <v>KARA</v>
      </c>
      <c r="K145" s="7" t="s">
        <v>229</v>
      </c>
      <c r="L145" s="7" t="s">
        <v>33</v>
      </c>
      <c r="M145" s="21">
        <v>28.93</v>
      </c>
      <c r="N145" s="10" t="s">
        <v>20</v>
      </c>
      <c r="O145" s="11">
        <v>92.1</v>
      </c>
    </row>
    <row r="146" spans="1:15" x14ac:dyDescent="0.2">
      <c r="A146" s="14" t="s">
        <v>161</v>
      </c>
      <c r="B146" s="8">
        <v>45532</v>
      </c>
      <c r="C146" s="9" t="s">
        <v>12</v>
      </c>
      <c r="D146" s="7" t="s">
        <v>13</v>
      </c>
      <c r="E146" s="9" t="s">
        <v>14</v>
      </c>
      <c r="F146" s="7">
        <v>33</v>
      </c>
      <c r="G146" s="7" t="s">
        <v>23</v>
      </c>
      <c r="H146" s="9" t="s">
        <v>16</v>
      </c>
      <c r="I146" s="7" t="s">
        <v>32</v>
      </c>
      <c r="J146" s="7" t="str">
        <f t="shared" si="4"/>
        <v>KARA</v>
      </c>
      <c r="K146" s="7" t="s">
        <v>229</v>
      </c>
      <c r="L146" s="7" t="s">
        <v>33</v>
      </c>
      <c r="M146" s="21">
        <v>26.8</v>
      </c>
      <c r="N146" s="10" t="s">
        <v>20</v>
      </c>
      <c r="O146" s="11">
        <v>95.9</v>
      </c>
    </row>
    <row r="147" spans="1:15" x14ac:dyDescent="0.2">
      <c r="A147" s="14" t="s">
        <v>148</v>
      </c>
      <c r="B147" s="8">
        <v>45541</v>
      </c>
      <c r="C147" s="9" t="s">
        <v>12</v>
      </c>
      <c r="D147" s="7" t="s">
        <v>13</v>
      </c>
      <c r="E147" s="9" t="s">
        <v>14</v>
      </c>
      <c r="F147" s="7">
        <v>26</v>
      </c>
      <c r="G147" s="7" t="s">
        <v>15</v>
      </c>
      <c r="H147" s="9" t="s">
        <v>16</v>
      </c>
      <c r="I147" s="7" t="s">
        <v>32</v>
      </c>
      <c r="J147" s="7" t="str">
        <f t="shared" si="4"/>
        <v>KARA</v>
      </c>
      <c r="K147" s="7" t="s">
        <v>229</v>
      </c>
      <c r="L147" s="7" t="s">
        <v>33</v>
      </c>
      <c r="M147" s="21">
        <v>29.529</v>
      </c>
      <c r="N147" s="10" t="s">
        <v>20</v>
      </c>
      <c r="O147" s="11">
        <v>93.7</v>
      </c>
    </row>
    <row r="148" spans="1:15" x14ac:dyDescent="0.2">
      <c r="A148" s="14" t="s">
        <v>156</v>
      </c>
      <c r="B148" s="8">
        <v>45541</v>
      </c>
      <c r="C148" s="9" t="s">
        <v>12</v>
      </c>
      <c r="D148" s="7" t="s">
        <v>13</v>
      </c>
      <c r="E148" s="9" t="s">
        <v>14</v>
      </c>
      <c r="F148" s="7">
        <v>29</v>
      </c>
      <c r="G148" s="7" t="s">
        <v>23</v>
      </c>
      <c r="H148" s="9" t="s">
        <v>16</v>
      </c>
      <c r="I148" s="7" t="s">
        <v>32</v>
      </c>
      <c r="J148" s="7" t="str">
        <f t="shared" si="4"/>
        <v>KARA</v>
      </c>
      <c r="K148" s="7" t="s">
        <v>229</v>
      </c>
      <c r="L148" s="7" t="s">
        <v>33</v>
      </c>
      <c r="M148" s="21">
        <v>21.702000000000002</v>
      </c>
      <c r="N148" s="10" t="s">
        <v>20</v>
      </c>
      <c r="O148" s="11">
        <v>94.9</v>
      </c>
    </row>
    <row r="149" spans="1:15" x14ac:dyDescent="0.2">
      <c r="A149" s="14" t="s">
        <v>165</v>
      </c>
      <c r="B149" s="8">
        <v>45541</v>
      </c>
      <c r="C149" s="9" t="s">
        <v>12</v>
      </c>
      <c r="D149" s="7" t="s">
        <v>13</v>
      </c>
      <c r="E149" s="9" t="s">
        <v>14</v>
      </c>
      <c r="F149" s="7">
        <v>42</v>
      </c>
      <c r="G149" s="7" t="s">
        <v>23</v>
      </c>
      <c r="H149" s="9" t="s">
        <v>16</v>
      </c>
      <c r="I149" s="7" t="s">
        <v>32</v>
      </c>
      <c r="J149" s="7" t="str">
        <f t="shared" si="4"/>
        <v>KARA</v>
      </c>
      <c r="K149" s="7" t="s">
        <v>229</v>
      </c>
      <c r="L149" s="7" t="s">
        <v>33</v>
      </c>
      <c r="M149" s="21">
        <v>28.728999999999999</v>
      </c>
      <c r="N149" s="10" t="s">
        <v>20</v>
      </c>
      <c r="O149" s="11">
        <v>96.6</v>
      </c>
    </row>
    <row r="150" spans="1:15" x14ac:dyDescent="0.2">
      <c r="A150" s="14" t="s">
        <v>88</v>
      </c>
      <c r="B150" s="8">
        <v>45551</v>
      </c>
      <c r="C150" s="9" t="s">
        <v>12</v>
      </c>
      <c r="D150" s="7" t="s">
        <v>13</v>
      </c>
      <c r="E150" s="9" t="s">
        <v>14</v>
      </c>
      <c r="F150" s="7">
        <v>28</v>
      </c>
      <c r="G150" s="7" t="s">
        <v>23</v>
      </c>
      <c r="H150" s="9" t="s">
        <v>16</v>
      </c>
      <c r="I150" s="7" t="s">
        <v>32</v>
      </c>
      <c r="J150" s="7" t="str">
        <f t="shared" si="4"/>
        <v>KARA</v>
      </c>
      <c r="K150" s="7" t="s">
        <v>229</v>
      </c>
      <c r="L150" s="7" t="s">
        <v>33</v>
      </c>
      <c r="M150" s="21">
        <v>34.954000000000001</v>
      </c>
      <c r="N150" s="10" t="s">
        <v>20</v>
      </c>
      <c r="O150" s="11">
        <v>17.600000000000001</v>
      </c>
    </row>
    <row r="151" spans="1:15" x14ac:dyDescent="0.2">
      <c r="A151" s="14" t="s">
        <v>85</v>
      </c>
      <c r="B151" s="8">
        <v>45553</v>
      </c>
      <c r="C151" s="9" t="s">
        <v>12</v>
      </c>
      <c r="D151" s="7" t="s">
        <v>13</v>
      </c>
      <c r="E151" s="9" t="s">
        <v>14</v>
      </c>
      <c r="F151" s="7">
        <v>50</v>
      </c>
      <c r="G151" s="7" t="s">
        <v>15</v>
      </c>
      <c r="H151" s="9" t="s">
        <v>16</v>
      </c>
      <c r="I151" s="7" t="s">
        <v>32</v>
      </c>
      <c r="J151" s="7" t="str">
        <f t="shared" si="4"/>
        <v>KARA</v>
      </c>
      <c r="K151" s="7" t="s">
        <v>229</v>
      </c>
      <c r="L151" s="7" t="s">
        <v>33</v>
      </c>
      <c r="M151" s="21">
        <v>34.219000000000001</v>
      </c>
      <c r="N151" s="10" t="s">
        <v>20</v>
      </c>
      <c r="O151" s="11">
        <v>15.6</v>
      </c>
    </row>
    <row r="152" spans="1:15" x14ac:dyDescent="0.2">
      <c r="A152" s="28" t="s">
        <v>79</v>
      </c>
      <c r="B152" s="30">
        <v>45558</v>
      </c>
      <c r="C152" s="31" t="s">
        <v>12</v>
      </c>
      <c r="D152" s="25" t="s">
        <v>13</v>
      </c>
      <c r="E152" s="31" t="s">
        <v>14</v>
      </c>
      <c r="F152" s="26">
        <v>23</v>
      </c>
      <c r="G152" s="26" t="s">
        <v>23</v>
      </c>
      <c r="H152" s="9" t="s">
        <v>16</v>
      </c>
      <c r="I152" s="26" t="s">
        <v>32</v>
      </c>
      <c r="J152" s="7" t="str">
        <f t="shared" si="4"/>
        <v>KARA</v>
      </c>
      <c r="K152" s="25" t="s">
        <v>229</v>
      </c>
      <c r="L152" s="26" t="s">
        <v>33</v>
      </c>
      <c r="M152" s="33">
        <v>29.882999999999999</v>
      </c>
      <c r="N152" s="35" t="s">
        <v>20</v>
      </c>
      <c r="O152" s="11">
        <v>4.5999999999999996</v>
      </c>
    </row>
    <row r="153" spans="1:15" x14ac:dyDescent="0.2">
      <c r="A153" s="28" t="s">
        <v>171</v>
      </c>
      <c r="B153" s="30">
        <v>45562</v>
      </c>
      <c r="C153" s="31" t="s">
        <v>12</v>
      </c>
      <c r="D153" s="25" t="s">
        <v>13</v>
      </c>
      <c r="E153" s="31" t="s">
        <v>14</v>
      </c>
      <c r="F153" s="26">
        <v>40</v>
      </c>
      <c r="G153" s="26" t="s">
        <v>15</v>
      </c>
      <c r="H153" s="9" t="s">
        <v>16</v>
      </c>
      <c r="I153" s="26" t="s">
        <v>32</v>
      </c>
      <c r="J153" s="7" t="str">
        <f t="shared" si="4"/>
        <v>KARA</v>
      </c>
      <c r="K153" s="25" t="s">
        <v>229</v>
      </c>
      <c r="L153" s="26" t="s">
        <v>33</v>
      </c>
      <c r="M153" s="33">
        <v>25.263000000000002</v>
      </c>
      <c r="N153" s="35" t="s">
        <v>20</v>
      </c>
      <c r="O153" s="11">
        <v>97.5</v>
      </c>
    </row>
    <row r="154" spans="1:15" x14ac:dyDescent="0.2">
      <c r="A154" s="28" t="s">
        <v>100</v>
      </c>
      <c r="B154" s="30">
        <v>45476</v>
      </c>
      <c r="C154" s="31" t="s">
        <v>12</v>
      </c>
      <c r="D154" s="25" t="s">
        <v>13</v>
      </c>
      <c r="E154" s="31" t="s">
        <v>14</v>
      </c>
      <c r="F154" s="26">
        <v>24</v>
      </c>
      <c r="G154" s="26" t="s">
        <v>15</v>
      </c>
      <c r="H154" s="9" t="s">
        <v>16</v>
      </c>
      <c r="I154" s="26" t="s">
        <v>17</v>
      </c>
      <c r="J154" s="7" t="str">
        <f t="shared" si="4"/>
        <v>GRAND LOMÉ</v>
      </c>
      <c r="K154" s="25" t="s">
        <v>232</v>
      </c>
      <c r="L154" s="26" t="s">
        <v>18</v>
      </c>
      <c r="M154" s="33">
        <v>35.758000000000003</v>
      </c>
      <c r="N154" s="35" t="s">
        <v>20</v>
      </c>
      <c r="O154" s="11">
        <v>46</v>
      </c>
    </row>
    <row r="155" spans="1:15" x14ac:dyDescent="0.2">
      <c r="A155" s="28" t="s">
        <v>76</v>
      </c>
      <c r="B155" s="30">
        <v>45482</v>
      </c>
      <c r="C155" s="31" t="s">
        <v>12</v>
      </c>
      <c r="D155" s="25" t="s">
        <v>13</v>
      </c>
      <c r="E155" s="31" t="s">
        <v>14</v>
      </c>
      <c r="F155" s="26">
        <v>26</v>
      </c>
      <c r="G155" s="26" t="s">
        <v>23</v>
      </c>
      <c r="H155" s="9" t="s">
        <v>16</v>
      </c>
      <c r="I155" s="26" t="s">
        <v>17</v>
      </c>
      <c r="J155" s="7" t="str">
        <f t="shared" si="4"/>
        <v>GRAND LOMÉ</v>
      </c>
      <c r="K155" s="25" t="s">
        <v>232</v>
      </c>
      <c r="L155" s="26" t="s">
        <v>18</v>
      </c>
      <c r="M155" s="34"/>
      <c r="N155" s="36" t="s">
        <v>46</v>
      </c>
      <c r="O155" s="11">
        <v>0</v>
      </c>
    </row>
    <row r="156" spans="1:15" x14ac:dyDescent="0.2">
      <c r="A156" s="28" t="s">
        <v>36</v>
      </c>
      <c r="B156" s="30">
        <v>45483</v>
      </c>
      <c r="C156" s="31" t="s">
        <v>12</v>
      </c>
      <c r="D156" s="25" t="s">
        <v>13</v>
      </c>
      <c r="E156" s="31" t="s">
        <v>14</v>
      </c>
      <c r="F156" s="26">
        <v>62</v>
      </c>
      <c r="G156" s="26" t="s">
        <v>15</v>
      </c>
      <c r="H156" s="9" t="s">
        <v>16</v>
      </c>
      <c r="I156" s="26" t="s">
        <v>17</v>
      </c>
      <c r="J156" s="7" t="str">
        <f t="shared" si="4"/>
        <v>GRAND LOMÉ</v>
      </c>
      <c r="K156" s="25" t="s">
        <v>232</v>
      </c>
      <c r="L156" s="26" t="s">
        <v>18</v>
      </c>
      <c r="M156" s="33">
        <v>30.28</v>
      </c>
      <c r="N156" s="35" t="s">
        <v>20</v>
      </c>
      <c r="O156" s="11">
        <v>0</v>
      </c>
    </row>
    <row r="157" spans="1:15" x14ac:dyDescent="0.2">
      <c r="A157" s="28" t="s">
        <v>145</v>
      </c>
      <c r="B157" s="30">
        <v>45484</v>
      </c>
      <c r="C157" s="31" t="s">
        <v>12</v>
      </c>
      <c r="D157" s="25" t="s">
        <v>13</v>
      </c>
      <c r="E157" s="31" t="s">
        <v>14</v>
      </c>
      <c r="F157" s="26">
        <v>32</v>
      </c>
      <c r="G157" s="26" t="s">
        <v>23</v>
      </c>
      <c r="H157" s="9" t="s">
        <v>16</v>
      </c>
      <c r="I157" s="26" t="s">
        <v>17</v>
      </c>
      <c r="J157" s="7" t="str">
        <f t="shared" si="4"/>
        <v>GRAND LOMÉ</v>
      </c>
      <c r="K157" s="25" t="s">
        <v>232</v>
      </c>
      <c r="L157" s="26" t="s">
        <v>18</v>
      </c>
      <c r="M157" s="33">
        <v>24.003</v>
      </c>
      <c r="N157" s="35" t="s">
        <v>20</v>
      </c>
      <c r="O157" s="11">
        <v>93.6</v>
      </c>
    </row>
    <row r="158" spans="1:15" x14ac:dyDescent="0.2">
      <c r="A158" s="28" t="s">
        <v>133</v>
      </c>
      <c r="B158" s="30">
        <v>45484</v>
      </c>
      <c r="C158" s="31" t="s">
        <v>12</v>
      </c>
      <c r="D158" s="25" t="s">
        <v>13</v>
      </c>
      <c r="E158" s="31" t="s">
        <v>14</v>
      </c>
      <c r="F158" s="26">
        <v>30</v>
      </c>
      <c r="G158" s="26" t="s">
        <v>15</v>
      </c>
      <c r="H158" s="9" t="s">
        <v>16</v>
      </c>
      <c r="I158" s="26" t="s">
        <v>17</v>
      </c>
      <c r="J158" s="7" t="str">
        <f t="shared" si="4"/>
        <v>GRAND LOMÉ</v>
      </c>
      <c r="K158" s="25" t="s">
        <v>232</v>
      </c>
      <c r="L158" s="26" t="s">
        <v>18</v>
      </c>
      <c r="M158" s="33">
        <v>26.745000000000001</v>
      </c>
      <c r="N158" s="35" t="s">
        <v>20</v>
      </c>
      <c r="O158" s="11">
        <v>90.4</v>
      </c>
    </row>
    <row r="159" spans="1:15" x14ac:dyDescent="0.2">
      <c r="A159" s="28" t="s">
        <v>102</v>
      </c>
      <c r="B159" s="30">
        <v>45485</v>
      </c>
      <c r="C159" s="31" t="s">
        <v>12</v>
      </c>
      <c r="D159" s="25" t="s">
        <v>13</v>
      </c>
      <c r="E159" s="31" t="s">
        <v>14</v>
      </c>
      <c r="F159" s="26">
        <v>24</v>
      </c>
      <c r="G159" s="26" t="s">
        <v>15</v>
      </c>
      <c r="H159" s="9" t="s">
        <v>16</v>
      </c>
      <c r="I159" s="26" t="s">
        <v>17</v>
      </c>
      <c r="J159" s="7" t="str">
        <f t="shared" si="4"/>
        <v>GRAND LOMÉ</v>
      </c>
      <c r="K159" s="25" t="s">
        <v>232</v>
      </c>
      <c r="L159" s="26" t="s">
        <v>18</v>
      </c>
      <c r="M159" s="33">
        <v>25.242000000000001</v>
      </c>
      <c r="N159" s="35" t="s">
        <v>20</v>
      </c>
      <c r="O159" s="11">
        <v>50.1</v>
      </c>
    </row>
    <row r="160" spans="1:15" x14ac:dyDescent="0.2">
      <c r="A160" s="28" t="s">
        <v>183</v>
      </c>
      <c r="B160" s="30">
        <v>45488</v>
      </c>
      <c r="C160" s="31" t="s">
        <v>12</v>
      </c>
      <c r="D160" s="25" t="s">
        <v>13</v>
      </c>
      <c r="E160" s="31" t="s">
        <v>14</v>
      </c>
      <c r="F160" s="26">
        <v>43</v>
      </c>
      <c r="G160" s="26" t="s">
        <v>23</v>
      </c>
      <c r="H160" s="9" t="s">
        <v>16</v>
      </c>
      <c r="I160" s="26" t="s">
        <v>17</v>
      </c>
      <c r="J160" s="7" t="str">
        <f t="shared" si="4"/>
        <v>GRAND LOMÉ</v>
      </c>
      <c r="K160" s="25" t="s">
        <v>232</v>
      </c>
      <c r="L160" s="26" t="s">
        <v>18</v>
      </c>
      <c r="M160" s="33">
        <v>32.950000000000003</v>
      </c>
      <c r="N160" s="35" t="s">
        <v>20</v>
      </c>
      <c r="O160" s="11">
        <v>27</v>
      </c>
    </row>
    <row r="161" spans="1:15" x14ac:dyDescent="0.2">
      <c r="A161" s="28" t="s">
        <v>78</v>
      </c>
      <c r="B161" s="30">
        <v>45488</v>
      </c>
      <c r="C161" s="31" t="s">
        <v>12</v>
      </c>
      <c r="D161" s="25" t="s">
        <v>13</v>
      </c>
      <c r="E161" s="31" t="s">
        <v>14</v>
      </c>
      <c r="F161" s="26">
        <v>36</v>
      </c>
      <c r="G161" s="26" t="s">
        <v>23</v>
      </c>
      <c r="H161" s="9" t="s">
        <v>16</v>
      </c>
      <c r="I161" s="26" t="s">
        <v>17</v>
      </c>
      <c r="J161" s="7" t="str">
        <f t="shared" si="4"/>
        <v>GRAND LOMÉ</v>
      </c>
      <c r="K161" s="25" t="s">
        <v>232</v>
      </c>
      <c r="L161" s="26" t="s">
        <v>18</v>
      </c>
      <c r="M161" s="33">
        <v>35.936999999999998</v>
      </c>
      <c r="N161" s="35" t="s">
        <v>20</v>
      </c>
      <c r="O161" s="11">
        <v>3.4</v>
      </c>
    </row>
    <row r="162" spans="1:15" x14ac:dyDescent="0.2">
      <c r="A162" s="25" t="s">
        <v>11</v>
      </c>
      <c r="B162" s="30">
        <v>45489</v>
      </c>
      <c r="C162" s="31" t="s">
        <v>12</v>
      </c>
      <c r="D162" s="25" t="s">
        <v>13</v>
      </c>
      <c r="E162" s="31" t="s">
        <v>14</v>
      </c>
      <c r="F162" s="26">
        <v>22</v>
      </c>
      <c r="G162" s="26" t="s">
        <v>15</v>
      </c>
      <c r="H162" s="9" t="s">
        <v>16</v>
      </c>
      <c r="I162" s="26" t="s">
        <v>17</v>
      </c>
      <c r="J162" s="7" t="str">
        <f t="shared" ref="J162:J193" si="5">UPPER(I162)</f>
        <v>GRAND LOMÉ</v>
      </c>
      <c r="K162" s="25" t="s">
        <v>232</v>
      </c>
      <c r="L162" s="26" t="s">
        <v>18</v>
      </c>
      <c r="M162" s="38">
        <v>36.243000000000002</v>
      </c>
      <c r="N162" s="35" t="s">
        <v>20</v>
      </c>
      <c r="O162" s="11">
        <v>0</v>
      </c>
    </row>
    <row r="163" spans="1:15" x14ac:dyDescent="0.2">
      <c r="A163" s="28" t="s">
        <v>98</v>
      </c>
      <c r="B163" s="30">
        <v>45489</v>
      </c>
      <c r="C163" s="31" t="s">
        <v>12</v>
      </c>
      <c r="D163" s="25" t="s">
        <v>13</v>
      </c>
      <c r="E163" s="31" t="s">
        <v>14</v>
      </c>
      <c r="F163" s="26">
        <v>35</v>
      </c>
      <c r="G163" s="26" t="s">
        <v>15</v>
      </c>
      <c r="H163" s="9" t="s">
        <v>16</v>
      </c>
      <c r="I163" s="26" t="s">
        <v>17</v>
      </c>
      <c r="J163" s="7" t="str">
        <f t="shared" si="5"/>
        <v>GRAND LOMÉ</v>
      </c>
      <c r="K163" s="25" t="s">
        <v>232</v>
      </c>
      <c r="L163" s="26" t="s">
        <v>18</v>
      </c>
      <c r="M163" s="33">
        <v>31.89</v>
      </c>
      <c r="N163" s="35" t="s">
        <v>20</v>
      </c>
      <c r="O163" s="11">
        <v>43.9</v>
      </c>
    </row>
    <row r="164" spans="1:15" x14ac:dyDescent="0.2">
      <c r="A164" s="28" t="s">
        <v>24</v>
      </c>
      <c r="B164" s="37">
        <v>45495</v>
      </c>
      <c r="C164" s="31" t="s">
        <v>12</v>
      </c>
      <c r="D164" s="25" t="s">
        <v>13</v>
      </c>
      <c r="E164" s="31" t="s">
        <v>14</v>
      </c>
      <c r="F164" s="26">
        <v>50</v>
      </c>
      <c r="G164" s="26" t="s">
        <v>15</v>
      </c>
      <c r="H164" s="9" t="s">
        <v>16</v>
      </c>
      <c r="I164" s="26" t="s">
        <v>17</v>
      </c>
      <c r="J164" s="7" t="str">
        <f t="shared" si="5"/>
        <v>GRAND LOMÉ</v>
      </c>
      <c r="K164" s="25" t="s">
        <v>232</v>
      </c>
      <c r="L164" s="26" t="s">
        <v>18</v>
      </c>
      <c r="M164" s="33">
        <v>35.978999999999999</v>
      </c>
      <c r="N164" s="35" t="s">
        <v>20</v>
      </c>
      <c r="O164" s="11">
        <v>0</v>
      </c>
    </row>
    <row r="165" spans="1:15" x14ac:dyDescent="0.2">
      <c r="A165" s="28" t="s">
        <v>37</v>
      </c>
      <c r="B165" s="30">
        <v>45496</v>
      </c>
      <c r="C165" s="31" t="s">
        <v>12</v>
      </c>
      <c r="D165" s="25" t="s">
        <v>13</v>
      </c>
      <c r="E165" s="31" t="s">
        <v>14</v>
      </c>
      <c r="F165" s="26">
        <v>30</v>
      </c>
      <c r="G165" s="26" t="s">
        <v>15</v>
      </c>
      <c r="H165" s="9" t="s">
        <v>16</v>
      </c>
      <c r="I165" s="26" t="s">
        <v>17</v>
      </c>
      <c r="J165" s="7" t="str">
        <f t="shared" si="5"/>
        <v>GRAND LOMÉ</v>
      </c>
      <c r="K165" s="25" t="s">
        <v>232</v>
      </c>
      <c r="L165" s="26" t="s">
        <v>18</v>
      </c>
      <c r="M165" s="33">
        <v>30.742000000000001</v>
      </c>
      <c r="N165" s="35" t="s">
        <v>20</v>
      </c>
      <c r="O165" s="11">
        <v>0</v>
      </c>
    </row>
    <row r="166" spans="1:15" x14ac:dyDescent="0.2">
      <c r="A166" s="28" t="s">
        <v>146</v>
      </c>
      <c r="B166" s="30">
        <v>45510</v>
      </c>
      <c r="C166" s="31" t="s">
        <v>12</v>
      </c>
      <c r="D166" s="25" t="s">
        <v>13</v>
      </c>
      <c r="E166" s="31" t="s">
        <v>14</v>
      </c>
      <c r="F166" s="26">
        <v>8</v>
      </c>
      <c r="G166" s="26" t="s">
        <v>23</v>
      </c>
      <c r="H166" s="9" t="s">
        <v>16</v>
      </c>
      <c r="I166" s="26" t="s">
        <v>17</v>
      </c>
      <c r="J166" s="7" t="str">
        <f t="shared" si="5"/>
        <v>GRAND LOMÉ</v>
      </c>
      <c r="K166" s="25" t="s">
        <v>232</v>
      </c>
      <c r="L166" s="26" t="s">
        <v>18</v>
      </c>
      <c r="M166" s="33">
        <v>25.390999999999998</v>
      </c>
      <c r="N166" s="35" t="s">
        <v>20</v>
      </c>
      <c r="O166" s="11">
        <v>93.7</v>
      </c>
    </row>
    <row r="167" spans="1:15" x14ac:dyDescent="0.2">
      <c r="A167" s="28" t="s">
        <v>53</v>
      </c>
      <c r="B167" s="30">
        <v>45449</v>
      </c>
      <c r="C167" s="31" t="s">
        <v>12</v>
      </c>
      <c r="D167" s="25" t="s">
        <v>13</v>
      </c>
      <c r="E167" s="31" t="s">
        <v>28</v>
      </c>
      <c r="F167" s="26">
        <v>41</v>
      </c>
      <c r="G167" s="26" t="s">
        <v>15</v>
      </c>
      <c r="H167" s="9" t="s">
        <v>16</v>
      </c>
      <c r="I167" s="26" t="s">
        <v>17</v>
      </c>
      <c r="J167" s="7" t="str">
        <f t="shared" si="5"/>
        <v>GRAND LOMÉ</v>
      </c>
      <c r="K167" s="25" t="s">
        <v>232</v>
      </c>
      <c r="L167" s="26" t="s">
        <v>18</v>
      </c>
      <c r="M167" s="34"/>
      <c r="N167" s="36" t="s">
        <v>46</v>
      </c>
      <c r="O167" s="11">
        <v>0</v>
      </c>
    </row>
    <row r="168" spans="1:15" x14ac:dyDescent="0.2">
      <c r="A168" s="28" t="s">
        <v>112</v>
      </c>
      <c r="B168" s="30">
        <v>45446</v>
      </c>
      <c r="C168" s="31" t="s">
        <v>12</v>
      </c>
      <c r="D168" s="25" t="s">
        <v>13</v>
      </c>
      <c r="E168" s="31" t="s">
        <v>28</v>
      </c>
      <c r="F168" s="26">
        <v>56</v>
      </c>
      <c r="G168" s="26" t="s">
        <v>15</v>
      </c>
      <c r="H168" s="9" t="s">
        <v>16</v>
      </c>
      <c r="I168" s="26" t="s">
        <v>17</v>
      </c>
      <c r="J168" s="7" t="str">
        <f t="shared" si="5"/>
        <v>GRAND LOMÉ</v>
      </c>
      <c r="K168" s="25" t="s">
        <v>232</v>
      </c>
      <c r="L168" s="26" t="s">
        <v>26</v>
      </c>
      <c r="M168" s="33">
        <v>32.201000000000001</v>
      </c>
      <c r="N168" s="35" t="s">
        <v>20</v>
      </c>
      <c r="O168" s="11">
        <v>61.1</v>
      </c>
    </row>
    <row r="169" spans="1:15" x14ac:dyDescent="0.2">
      <c r="A169" s="28" t="s">
        <v>27</v>
      </c>
      <c r="B169" s="30">
        <v>45453</v>
      </c>
      <c r="C169" s="31" t="s">
        <v>12</v>
      </c>
      <c r="D169" s="25" t="s">
        <v>13</v>
      </c>
      <c r="E169" s="31" t="s">
        <v>28</v>
      </c>
      <c r="F169" s="26" t="s">
        <v>19</v>
      </c>
      <c r="G169" s="26" t="s">
        <v>15</v>
      </c>
      <c r="H169" s="9" t="s">
        <v>16</v>
      </c>
      <c r="I169" s="26" t="s">
        <v>19</v>
      </c>
      <c r="J169" s="7" t="str">
        <f t="shared" si="5"/>
        <v>NOT SPECIFIED</v>
      </c>
      <c r="K169" s="25" t="s">
        <v>228</v>
      </c>
      <c r="L169" s="26" t="s">
        <v>19</v>
      </c>
      <c r="M169" s="33">
        <v>25.027999999999999</v>
      </c>
      <c r="N169" s="35" t="s">
        <v>20</v>
      </c>
      <c r="O169" s="11">
        <v>0</v>
      </c>
    </row>
    <row r="170" spans="1:15" x14ac:dyDescent="0.2">
      <c r="A170" s="28" t="s">
        <v>96</v>
      </c>
      <c r="B170" s="30">
        <v>45453</v>
      </c>
      <c r="C170" s="31" t="s">
        <v>12</v>
      </c>
      <c r="D170" s="25" t="s">
        <v>13</v>
      </c>
      <c r="E170" s="31" t="s">
        <v>28</v>
      </c>
      <c r="F170" s="26" t="s">
        <v>19</v>
      </c>
      <c r="G170" s="26" t="s">
        <v>23</v>
      </c>
      <c r="H170" s="9" t="s">
        <v>16</v>
      </c>
      <c r="I170" s="26" t="s">
        <v>19</v>
      </c>
      <c r="J170" s="7" t="str">
        <f t="shared" si="5"/>
        <v>NOT SPECIFIED</v>
      </c>
      <c r="K170" s="25" t="s">
        <v>228</v>
      </c>
      <c r="L170" s="26" t="s">
        <v>19</v>
      </c>
      <c r="M170" s="33">
        <v>33.484999999999999</v>
      </c>
      <c r="N170" s="35" t="s">
        <v>20</v>
      </c>
      <c r="O170" s="11">
        <v>40.799999999999997</v>
      </c>
    </row>
    <row r="171" spans="1:15" x14ac:dyDescent="0.2">
      <c r="A171" s="28" t="s">
        <v>82</v>
      </c>
      <c r="B171" s="30">
        <v>45456</v>
      </c>
      <c r="C171" s="31" t="s">
        <v>12</v>
      </c>
      <c r="D171" s="25" t="s">
        <v>13</v>
      </c>
      <c r="E171" s="31" t="s">
        <v>28</v>
      </c>
      <c r="F171" s="26">
        <v>26</v>
      </c>
      <c r="G171" s="26" t="s">
        <v>15</v>
      </c>
      <c r="H171" s="9" t="s">
        <v>16</v>
      </c>
      <c r="I171" s="26" t="s">
        <v>17</v>
      </c>
      <c r="J171" s="7" t="str">
        <f t="shared" si="5"/>
        <v>GRAND LOMÉ</v>
      </c>
      <c r="K171" s="25" t="s">
        <v>232</v>
      </c>
      <c r="L171" s="26" t="s">
        <v>26</v>
      </c>
      <c r="M171" s="33">
        <v>33.595999999999997</v>
      </c>
      <c r="N171" s="35" t="s">
        <v>20</v>
      </c>
      <c r="O171" s="11">
        <v>7</v>
      </c>
    </row>
    <row r="172" spans="1:15" x14ac:dyDescent="0.2">
      <c r="A172" s="28" t="s">
        <v>35</v>
      </c>
      <c r="B172" s="30">
        <v>45456</v>
      </c>
      <c r="C172" s="31" t="s">
        <v>12</v>
      </c>
      <c r="D172" s="25" t="s">
        <v>13</v>
      </c>
      <c r="E172" s="31" t="s">
        <v>28</v>
      </c>
      <c r="F172" s="26">
        <v>26</v>
      </c>
      <c r="G172" s="26" t="s">
        <v>23</v>
      </c>
      <c r="H172" s="9" t="s">
        <v>16</v>
      </c>
      <c r="I172" s="26" t="s">
        <v>17</v>
      </c>
      <c r="J172" s="7" t="str">
        <f t="shared" si="5"/>
        <v>GRAND LOMÉ</v>
      </c>
      <c r="K172" s="25" t="s">
        <v>232</v>
      </c>
      <c r="L172" s="26" t="s">
        <v>26</v>
      </c>
      <c r="M172" s="33">
        <v>30.093</v>
      </c>
      <c r="N172" s="35" t="s">
        <v>20</v>
      </c>
      <c r="O172" s="11">
        <v>0</v>
      </c>
    </row>
    <row r="173" spans="1:15" x14ac:dyDescent="0.2">
      <c r="A173" s="28" t="s">
        <v>124</v>
      </c>
      <c r="B173" s="30">
        <v>45456</v>
      </c>
      <c r="C173" s="31" t="s">
        <v>12</v>
      </c>
      <c r="D173" s="25" t="s">
        <v>13</v>
      </c>
      <c r="E173" s="31" t="s">
        <v>28</v>
      </c>
      <c r="F173" s="26">
        <v>35</v>
      </c>
      <c r="G173" s="26" t="s">
        <v>15</v>
      </c>
      <c r="H173" s="9" t="s">
        <v>16</v>
      </c>
      <c r="I173" s="26" t="s">
        <v>17</v>
      </c>
      <c r="J173" s="7" t="str">
        <f t="shared" si="5"/>
        <v>GRAND LOMÉ</v>
      </c>
      <c r="K173" s="25" t="s">
        <v>232</v>
      </c>
      <c r="L173" s="26" t="s">
        <v>26</v>
      </c>
      <c r="M173" s="33">
        <v>30.146999999999998</v>
      </c>
      <c r="N173" s="35" t="s">
        <v>20</v>
      </c>
      <c r="O173" s="11">
        <v>81.900000000000006</v>
      </c>
    </row>
    <row r="174" spans="1:15" x14ac:dyDescent="0.2">
      <c r="A174" s="28" t="s">
        <v>131</v>
      </c>
      <c r="B174" s="30">
        <v>45456</v>
      </c>
      <c r="C174" s="31" t="s">
        <v>12</v>
      </c>
      <c r="D174" s="25" t="s">
        <v>13</v>
      </c>
      <c r="E174" s="31" t="s">
        <v>28</v>
      </c>
      <c r="F174" s="26">
        <v>27</v>
      </c>
      <c r="G174" s="26" t="s">
        <v>23</v>
      </c>
      <c r="H174" s="9" t="s">
        <v>16</v>
      </c>
      <c r="I174" s="26" t="s">
        <v>17</v>
      </c>
      <c r="J174" s="7" t="str">
        <f t="shared" si="5"/>
        <v>GRAND LOMÉ</v>
      </c>
      <c r="K174" s="25" t="s">
        <v>232</v>
      </c>
      <c r="L174" s="26" t="s">
        <v>26</v>
      </c>
      <c r="M174" s="33">
        <v>27.51</v>
      </c>
      <c r="N174" s="35" t="s">
        <v>20</v>
      </c>
      <c r="O174" s="11">
        <v>89.6</v>
      </c>
    </row>
    <row r="175" spans="1:15" x14ac:dyDescent="0.2">
      <c r="A175" s="28" t="s">
        <v>34</v>
      </c>
      <c r="B175" s="30">
        <v>45458</v>
      </c>
      <c r="C175" s="31" t="s">
        <v>12</v>
      </c>
      <c r="D175" s="25" t="s">
        <v>13</v>
      </c>
      <c r="E175" s="31" t="s">
        <v>28</v>
      </c>
      <c r="F175" s="26">
        <v>61</v>
      </c>
      <c r="G175" s="26" t="s">
        <v>23</v>
      </c>
      <c r="H175" s="9" t="s">
        <v>16</v>
      </c>
      <c r="I175" s="26" t="s">
        <v>17</v>
      </c>
      <c r="J175" s="7" t="str">
        <f t="shared" si="5"/>
        <v>GRAND LOMÉ</v>
      </c>
      <c r="K175" s="25" t="s">
        <v>232</v>
      </c>
      <c r="L175" s="26" t="s">
        <v>26</v>
      </c>
      <c r="M175" s="33">
        <v>29.416</v>
      </c>
      <c r="N175" s="35" t="s">
        <v>20</v>
      </c>
      <c r="O175" s="11">
        <v>0</v>
      </c>
    </row>
    <row r="176" spans="1:15" x14ac:dyDescent="0.2">
      <c r="A176" s="28" t="s">
        <v>94</v>
      </c>
      <c r="B176" s="30">
        <v>45460</v>
      </c>
      <c r="C176" s="31" t="s">
        <v>12</v>
      </c>
      <c r="D176" s="25" t="s">
        <v>13</v>
      </c>
      <c r="E176" s="31" t="s">
        <v>28</v>
      </c>
      <c r="F176" s="26">
        <v>30</v>
      </c>
      <c r="G176" s="26" t="s">
        <v>15</v>
      </c>
      <c r="H176" s="9" t="s">
        <v>16</v>
      </c>
      <c r="I176" s="26" t="s">
        <v>17</v>
      </c>
      <c r="J176" s="7" t="str">
        <f t="shared" si="5"/>
        <v>GRAND LOMÉ</v>
      </c>
      <c r="K176" s="25" t="s">
        <v>232</v>
      </c>
      <c r="L176" s="26" t="s">
        <v>26</v>
      </c>
      <c r="M176" s="33">
        <v>25.3</v>
      </c>
      <c r="N176" s="35" t="s">
        <v>20</v>
      </c>
      <c r="O176" s="11">
        <v>35.9</v>
      </c>
    </row>
    <row r="177" spans="1:15" x14ac:dyDescent="0.2">
      <c r="A177" s="28" t="s">
        <v>143</v>
      </c>
      <c r="B177" s="30">
        <v>45460</v>
      </c>
      <c r="C177" s="31" t="s">
        <v>12</v>
      </c>
      <c r="D177" s="25" t="s">
        <v>13</v>
      </c>
      <c r="E177" s="31" t="s">
        <v>28</v>
      </c>
      <c r="F177" s="26">
        <v>23</v>
      </c>
      <c r="G177" s="26" t="s">
        <v>15</v>
      </c>
      <c r="H177" s="9" t="s">
        <v>16</v>
      </c>
      <c r="I177" s="26" t="s">
        <v>17</v>
      </c>
      <c r="J177" s="7" t="str">
        <f t="shared" si="5"/>
        <v>GRAND LOMÉ</v>
      </c>
      <c r="K177" s="25" t="s">
        <v>232</v>
      </c>
      <c r="L177" s="26" t="s">
        <v>26</v>
      </c>
      <c r="M177" s="33">
        <v>28.846</v>
      </c>
      <c r="N177" s="35" t="s">
        <v>20</v>
      </c>
      <c r="O177" s="11">
        <v>93.4</v>
      </c>
    </row>
    <row r="178" spans="1:15" x14ac:dyDescent="0.2">
      <c r="A178" s="28" t="s">
        <v>42</v>
      </c>
      <c r="B178" s="30">
        <v>45460</v>
      </c>
      <c r="C178" s="31" t="s">
        <v>12</v>
      </c>
      <c r="D178" s="25" t="s">
        <v>13</v>
      </c>
      <c r="E178" s="31" t="s">
        <v>28</v>
      </c>
      <c r="F178" s="26" t="s">
        <v>15</v>
      </c>
      <c r="G178" s="26">
        <v>37</v>
      </c>
      <c r="H178" s="9" t="s">
        <v>16</v>
      </c>
      <c r="I178" s="26" t="s">
        <v>17</v>
      </c>
      <c r="J178" s="7" t="str">
        <f t="shared" si="5"/>
        <v>GRAND LOMÉ</v>
      </c>
      <c r="K178" s="25" t="s">
        <v>232</v>
      </c>
      <c r="L178" s="26" t="s">
        <v>26</v>
      </c>
      <c r="M178" s="33">
        <v>36.335999999999999</v>
      </c>
      <c r="N178" s="35" t="s">
        <v>20</v>
      </c>
      <c r="O178" s="11">
        <v>0</v>
      </c>
    </row>
    <row r="179" spans="1:15" x14ac:dyDescent="0.2">
      <c r="A179" s="28" t="s">
        <v>99</v>
      </c>
      <c r="B179" s="30">
        <v>45474</v>
      </c>
      <c r="C179" s="31" t="s">
        <v>12</v>
      </c>
      <c r="D179" s="25" t="s">
        <v>13</v>
      </c>
      <c r="E179" s="31" t="s">
        <v>28</v>
      </c>
      <c r="F179" s="26">
        <v>25</v>
      </c>
      <c r="G179" s="26" t="s">
        <v>15</v>
      </c>
      <c r="H179" s="9" t="s">
        <v>16</v>
      </c>
      <c r="I179" s="26" t="s">
        <v>17</v>
      </c>
      <c r="J179" s="7" t="str">
        <f t="shared" si="5"/>
        <v>GRAND LOMÉ</v>
      </c>
      <c r="K179" s="25" t="s">
        <v>232</v>
      </c>
      <c r="L179" s="26" t="s">
        <v>18</v>
      </c>
      <c r="M179" s="33">
        <v>28.588999999999999</v>
      </c>
      <c r="N179" s="35" t="s">
        <v>20</v>
      </c>
      <c r="O179" s="11">
        <v>44.5</v>
      </c>
    </row>
    <row r="180" spans="1:15" x14ac:dyDescent="0.2">
      <c r="A180" s="28" t="s">
        <v>93</v>
      </c>
      <c r="B180" s="30">
        <v>45463</v>
      </c>
      <c r="C180" s="31" t="s">
        <v>12</v>
      </c>
      <c r="D180" s="25" t="s">
        <v>13</v>
      </c>
      <c r="E180" s="31" t="s">
        <v>28</v>
      </c>
      <c r="F180" s="26">
        <v>41</v>
      </c>
      <c r="G180" s="26" t="s">
        <v>23</v>
      </c>
      <c r="H180" s="9" t="s">
        <v>16</v>
      </c>
      <c r="I180" s="26" t="s">
        <v>17</v>
      </c>
      <c r="J180" s="7" t="str">
        <f t="shared" si="5"/>
        <v>GRAND LOMÉ</v>
      </c>
      <c r="K180" s="25" t="s">
        <v>232</v>
      </c>
      <c r="L180" s="26" t="s">
        <v>26</v>
      </c>
      <c r="M180" s="33">
        <v>33.07</v>
      </c>
      <c r="N180" s="35" t="s">
        <v>20</v>
      </c>
      <c r="O180" s="11">
        <v>27.7</v>
      </c>
    </row>
    <row r="181" spans="1:15" x14ac:dyDescent="0.2">
      <c r="A181" s="28" t="s">
        <v>30</v>
      </c>
      <c r="B181" s="30">
        <v>45465</v>
      </c>
      <c r="C181" s="31" t="s">
        <v>12</v>
      </c>
      <c r="D181" s="25" t="s">
        <v>13</v>
      </c>
      <c r="E181" s="31" t="s">
        <v>28</v>
      </c>
      <c r="F181" s="26">
        <v>53</v>
      </c>
      <c r="G181" s="26" t="s">
        <v>23</v>
      </c>
      <c r="H181" s="9" t="s">
        <v>16</v>
      </c>
      <c r="I181" s="26" t="s">
        <v>17</v>
      </c>
      <c r="J181" s="7" t="str">
        <f t="shared" si="5"/>
        <v>GRAND LOMÉ</v>
      </c>
      <c r="K181" s="25" t="s">
        <v>232</v>
      </c>
      <c r="L181" s="26" t="s">
        <v>26</v>
      </c>
      <c r="M181" s="33">
        <v>26.975000000000001</v>
      </c>
      <c r="N181" s="35" t="s">
        <v>20</v>
      </c>
      <c r="O181" s="11">
        <v>0</v>
      </c>
    </row>
    <row r="182" spans="1:15" x14ac:dyDescent="0.2">
      <c r="A182" s="28" t="s">
        <v>113</v>
      </c>
      <c r="B182" s="30">
        <v>45470</v>
      </c>
      <c r="C182" s="31" t="s">
        <v>12</v>
      </c>
      <c r="D182" s="25" t="s">
        <v>13</v>
      </c>
      <c r="E182" s="31" t="s">
        <v>28</v>
      </c>
      <c r="F182" s="26">
        <v>18</v>
      </c>
      <c r="G182" s="26" t="s">
        <v>15</v>
      </c>
      <c r="H182" s="9" t="s">
        <v>16</v>
      </c>
      <c r="I182" s="26" t="s">
        <v>17</v>
      </c>
      <c r="J182" s="7" t="str">
        <f t="shared" si="5"/>
        <v>GRAND LOMÉ</v>
      </c>
      <c r="K182" s="25" t="s">
        <v>232</v>
      </c>
      <c r="L182" s="26" t="s">
        <v>26</v>
      </c>
      <c r="M182" s="33">
        <v>30.728000000000002</v>
      </c>
      <c r="N182" s="35" t="s">
        <v>20</v>
      </c>
      <c r="O182" s="11">
        <v>61.8</v>
      </c>
    </row>
    <row r="183" spans="1:15" x14ac:dyDescent="0.2">
      <c r="A183" s="28" t="s">
        <v>54</v>
      </c>
      <c r="B183" s="30">
        <v>45471</v>
      </c>
      <c r="C183" s="31" t="s">
        <v>12</v>
      </c>
      <c r="D183" s="25" t="s">
        <v>13</v>
      </c>
      <c r="E183" s="31" t="s">
        <v>28</v>
      </c>
      <c r="F183" s="26">
        <v>59</v>
      </c>
      <c r="G183" s="26" t="s">
        <v>23</v>
      </c>
      <c r="H183" s="9" t="s">
        <v>16</v>
      </c>
      <c r="I183" s="26" t="s">
        <v>17</v>
      </c>
      <c r="J183" s="7" t="str">
        <f t="shared" si="5"/>
        <v>GRAND LOMÉ</v>
      </c>
      <c r="K183" s="25" t="s">
        <v>232</v>
      </c>
      <c r="L183" s="26" t="s">
        <v>18</v>
      </c>
      <c r="M183" s="34"/>
      <c r="N183" s="36" t="s">
        <v>46</v>
      </c>
      <c r="O183" s="11">
        <v>0</v>
      </c>
    </row>
    <row r="184" spans="1:15" x14ac:dyDescent="0.2">
      <c r="A184" s="28" t="s">
        <v>108</v>
      </c>
      <c r="B184" s="30"/>
      <c r="C184" s="31" t="s">
        <v>12</v>
      </c>
      <c r="D184" s="25" t="s">
        <v>13</v>
      </c>
      <c r="E184" s="31" t="s">
        <v>28</v>
      </c>
      <c r="F184" s="26">
        <v>11</v>
      </c>
      <c r="G184" s="26" t="s">
        <v>15</v>
      </c>
      <c r="H184" s="9" t="s">
        <v>16</v>
      </c>
      <c r="I184" s="26" t="s">
        <v>17</v>
      </c>
      <c r="J184" s="7" t="str">
        <f t="shared" si="5"/>
        <v>GRAND LOMÉ</v>
      </c>
      <c r="K184" s="25" t="s">
        <v>232</v>
      </c>
      <c r="L184" s="26" t="s">
        <v>26</v>
      </c>
      <c r="M184" s="33">
        <v>30.745000000000001</v>
      </c>
      <c r="N184" s="35" t="s">
        <v>20</v>
      </c>
      <c r="O184" s="11">
        <v>57.9</v>
      </c>
    </row>
    <row r="185" spans="1:15" x14ac:dyDescent="0.2">
      <c r="A185" s="28" t="s">
        <v>120</v>
      </c>
      <c r="B185" s="30"/>
      <c r="C185" s="31" t="s">
        <v>12</v>
      </c>
      <c r="D185" s="25" t="s">
        <v>13</v>
      </c>
      <c r="E185" s="31" t="s">
        <v>28</v>
      </c>
      <c r="F185" s="26">
        <v>28</v>
      </c>
      <c r="G185" s="26" t="s">
        <v>23</v>
      </c>
      <c r="H185" s="9" t="s">
        <v>16</v>
      </c>
      <c r="I185" s="26" t="s">
        <v>17</v>
      </c>
      <c r="J185" s="7" t="str">
        <f t="shared" si="5"/>
        <v>GRAND LOMÉ</v>
      </c>
      <c r="K185" s="25" t="s">
        <v>232</v>
      </c>
      <c r="L185" s="26" t="s">
        <v>26</v>
      </c>
      <c r="M185" s="33">
        <v>30.056999999999999</v>
      </c>
      <c r="N185" s="35" t="s">
        <v>20</v>
      </c>
      <c r="O185" s="11">
        <v>79.400000000000006</v>
      </c>
    </row>
    <row r="186" spans="1:15" x14ac:dyDescent="0.2">
      <c r="A186" s="28" t="s">
        <v>43</v>
      </c>
      <c r="B186" s="30">
        <v>45463</v>
      </c>
      <c r="C186" s="31" t="s">
        <v>12</v>
      </c>
      <c r="D186" s="25" t="s">
        <v>13</v>
      </c>
      <c r="E186" s="31" t="s">
        <v>28</v>
      </c>
      <c r="F186" s="26">
        <v>44</v>
      </c>
      <c r="G186" s="26" t="s">
        <v>23</v>
      </c>
      <c r="H186" s="9" t="s">
        <v>16</v>
      </c>
      <c r="I186" s="26" t="s">
        <v>17</v>
      </c>
      <c r="J186" s="7" t="str">
        <f t="shared" si="5"/>
        <v>GRAND LOMÉ</v>
      </c>
      <c r="K186" s="25" t="s">
        <v>232</v>
      </c>
      <c r="L186" s="26" t="s">
        <v>26</v>
      </c>
      <c r="M186" s="33">
        <v>36.835000000000001</v>
      </c>
      <c r="N186" s="35" t="s">
        <v>20</v>
      </c>
      <c r="O186" s="11">
        <v>0</v>
      </c>
    </row>
    <row r="187" spans="1:15" x14ac:dyDescent="0.2">
      <c r="A187" s="28" t="s">
        <v>170</v>
      </c>
      <c r="B187" s="30">
        <v>45499</v>
      </c>
      <c r="C187" s="31" t="s">
        <v>12</v>
      </c>
      <c r="D187" s="25" t="s">
        <v>13</v>
      </c>
      <c r="E187" s="31" t="s">
        <v>14</v>
      </c>
      <c r="F187" s="26">
        <v>55</v>
      </c>
      <c r="G187" s="26" t="s">
        <v>15</v>
      </c>
      <c r="H187" s="9" t="s">
        <v>16</v>
      </c>
      <c r="I187" s="26" t="s">
        <v>32</v>
      </c>
      <c r="J187" s="7" t="str">
        <f t="shared" si="5"/>
        <v>KARA</v>
      </c>
      <c r="K187" s="25" t="s">
        <v>229</v>
      </c>
      <c r="L187" s="26" t="s">
        <v>33</v>
      </c>
      <c r="M187" s="33">
        <v>22.346</v>
      </c>
      <c r="N187" s="35" t="s">
        <v>20</v>
      </c>
      <c r="O187" s="11">
        <v>97.4</v>
      </c>
    </row>
    <row r="188" spans="1:15" x14ac:dyDescent="0.2">
      <c r="A188" s="28" t="s">
        <v>83</v>
      </c>
      <c r="B188" s="30">
        <v>45506</v>
      </c>
      <c r="C188" s="31" t="s">
        <v>12</v>
      </c>
      <c r="D188" s="25" t="s">
        <v>13</v>
      </c>
      <c r="E188" s="31" t="s">
        <v>14</v>
      </c>
      <c r="F188" s="26">
        <v>42</v>
      </c>
      <c r="G188" s="26" t="s">
        <v>15</v>
      </c>
      <c r="H188" s="9" t="s">
        <v>16</v>
      </c>
      <c r="I188" s="26" t="s">
        <v>32</v>
      </c>
      <c r="J188" s="7" t="str">
        <f t="shared" si="5"/>
        <v>KARA</v>
      </c>
      <c r="K188" s="25" t="s">
        <v>229</v>
      </c>
      <c r="L188" s="26" t="s">
        <v>33</v>
      </c>
      <c r="M188" s="33">
        <v>34.869</v>
      </c>
      <c r="N188" s="25" t="s">
        <v>20</v>
      </c>
      <c r="O188" s="11">
        <v>13</v>
      </c>
    </row>
  </sheetData>
  <sortState xmlns:xlrd2="http://schemas.microsoft.com/office/spreadsheetml/2017/richdata2" ref="A2:O188">
    <sortCondition ref="A38:A188"/>
  </sortState>
  <dataValidations count="2">
    <dataValidation type="list" allowBlank="1" sqref="H2:H188" xr:uid="{FD8A104D-5D1F-F847-A592-CEBCBC90EB73}">
      <formula1>"Algeria,Angola,Benin,Botswana
Burkina Faso,Burundi,Cabo Verde,Cameroon,CAR,Chad,Comoros,Congo,Cote d'ivoire,Djibouti,DRC,Egypt,Equatorial,Giunea,Eritrea,Eswatini,Ethiopia,Gabon,Gambia,Ghana,Guinea,Guinea-Bissau,Kenya,Lesotho,Liberia,Libya,Madagascar,Malaw"&amp;"i,Mali,Mauritania,Mauritius,Morocco,Mozambique,Namibia,Niger,Nigeria,Rwanda,Sahrawi Republic,Sao Tome,Senegal,Seychelles,Sierra Leone,Somalia,South Africa,South Sudan,Sudan,Tanzania,Togo,Tunisia,Uganda,Zambia,Zimbabwe"</formula1>
    </dataValidation>
    <dataValidation type="list" allowBlank="1" sqref="C2:C151" xr:uid="{E4D247C1-B1AF-D447-A97A-543AF8FFC622}">
      <formula1>"Nasopharyngeal,Oropharyngeal,Sputum"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2024-12-20T13:19:39Z</dcterms:created>
  <dcterms:modified xsi:type="dcterms:W3CDTF">2026-07-19T06:42:10Z</dcterms:modified>
</cp:coreProperties>
</file>